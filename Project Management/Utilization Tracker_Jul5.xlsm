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326" codeName="{00CF4601-37BD-836D-55AB-7E336CB4BC7A}"/>
  <workbookPr filterPrivacy="1" codeName="ThisWorkbook" hidePivotFieldList="1"/>
  <bookViews>
    <workbookView xWindow="0" yWindow="0" windowWidth="19200" windowHeight="7350" firstSheet="2" activeTab="2"/>
  </bookViews>
  <sheets>
    <sheet name="Utilization 2" sheetId="1" state="hidden" r:id="rId1"/>
    <sheet name="Utilization (2)" sheetId="9" state="hidden" r:id="rId2"/>
    <sheet name="Utilization Summary" sheetId="8" r:id="rId3"/>
    <sheet name="Utilization" sheetId="4" r:id="rId4"/>
    <sheet name="Meetings" sheetId="7" r:id="rId5"/>
    <sheet name="Backend list" sheetId="5" state="hidden" r:id="rId6"/>
  </sheets>
  <definedNames>
    <definedName name="_xlnm._FilterDatabase" localSheetId="3" hidden="1">Utilization!$A$1:$E$95</definedName>
    <definedName name="_xlnm._FilterDatabase" localSheetId="1" hidden="1">'Utilization (2)'!$A$1:$E$27</definedName>
    <definedName name="Utilization_Data" localSheetId="1">OFFSET('Utilization (2)'!$A$1,0,0,COUNTA('Utilization (2)'!$A:$A),5)</definedName>
    <definedName name="Utilization_Data">OFFSET(Utilization!$A$1,0,0,COUNTA(Utilization!$A:$A),5)</definedName>
  </definedNames>
  <calcPr calcId="162913"/>
  <pivotCaches>
    <pivotCache cacheId="0" r:id="rId7"/>
  </pivotCaches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4" i="7" l="1"/>
  <c r="P4" i="7" l="1"/>
  <c r="P5" i="7"/>
  <c r="P6" i="7"/>
  <c r="P7" i="7"/>
  <c r="P8" i="7"/>
  <c r="P9" i="7"/>
  <c r="P10" i="7"/>
  <c r="P3" i="7"/>
  <c r="Q10" i="7" l="1"/>
  <c r="Q9" i="7"/>
  <c r="Q8" i="7"/>
  <c r="Q7" i="7"/>
  <c r="Q6" i="7"/>
  <c r="Q5" i="7"/>
  <c r="Q4" i="7"/>
  <c r="Q3" i="7"/>
</calcChain>
</file>

<file path=xl/sharedStrings.xml><?xml version="1.0" encoding="utf-8"?>
<sst xmlns="http://schemas.openxmlformats.org/spreadsheetml/2006/main" count="338" uniqueCount="103">
  <si>
    <t>Task</t>
  </si>
  <si>
    <t>Resource</t>
  </si>
  <si>
    <t>Varnika Yertha</t>
  </si>
  <si>
    <t>Sree Inturi</t>
  </si>
  <si>
    <t>Deeksha Ramesh</t>
  </si>
  <si>
    <t>Seemanthini Chincholkar</t>
  </si>
  <si>
    <t>Pruthvi Nagaraju</t>
  </si>
  <si>
    <t>Sriraman Krishnamurthy</t>
  </si>
  <si>
    <t>Jinwei Wang</t>
  </si>
  <si>
    <t>Shu-Feng Tsao</t>
  </si>
  <si>
    <t>Xueling Chen</t>
  </si>
  <si>
    <t>Team Hours (Meetings, Discussions)</t>
  </si>
  <si>
    <t>Total</t>
  </si>
  <si>
    <t>Date</t>
  </si>
  <si>
    <t>Hours</t>
  </si>
  <si>
    <t>Week</t>
  </si>
  <si>
    <t>Grand Total</t>
  </si>
  <si>
    <t>Activity Code</t>
  </si>
  <si>
    <t>Comments</t>
  </si>
  <si>
    <t>Weeks</t>
  </si>
  <si>
    <t>Participants</t>
  </si>
  <si>
    <t>Agenda</t>
  </si>
  <si>
    <t>Task/ Activity</t>
  </si>
  <si>
    <t>Week Starting</t>
  </si>
  <si>
    <t>Work Hours</t>
  </si>
  <si>
    <t>Seemantini Chincholkar</t>
  </si>
  <si>
    <t>Meeting + Career process diagram &amp; pain points</t>
  </si>
  <si>
    <t>Meeting + Survey comments</t>
  </si>
  <si>
    <t>Internal meeting</t>
  </si>
  <si>
    <t>Survey Workshop</t>
  </si>
  <si>
    <t>Meeting + Survey structure design</t>
  </si>
  <si>
    <t>Meeting + Survey questions</t>
  </si>
  <si>
    <t>Meeting + Surve questions</t>
  </si>
  <si>
    <t>Write up</t>
  </si>
  <si>
    <t>Kickoff Meeting with Ian</t>
  </si>
  <si>
    <t>Planning</t>
  </si>
  <si>
    <t>Utilization tracker</t>
  </si>
  <si>
    <t>Review - Week 1 + Week 2</t>
  </si>
  <si>
    <t>Survey Structure discussion</t>
  </si>
  <si>
    <t>Internal team meeting</t>
  </si>
  <si>
    <t>Internal meeting +Question design</t>
  </si>
  <si>
    <t>Qualtrics workshop</t>
  </si>
  <si>
    <t>Group meeting + work about career proccess and Pain points</t>
  </si>
  <si>
    <t>Team Meeting + work on process flow graph</t>
  </si>
  <si>
    <t>Group meeting + work on survey &amp; comments</t>
  </si>
  <si>
    <t>Duration (in hours)</t>
  </si>
  <si>
    <t>Team intro</t>
  </si>
  <si>
    <t>Team</t>
  </si>
  <si>
    <t>Kick off meeting</t>
  </si>
  <si>
    <t>Team - Sriraman, +Ian</t>
  </si>
  <si>
    <t>PM Meeting 1</t>
  </si>
  <si>
    <t>PMs, Ian</t>
  </si>
  <si>
    <t>Team - Simi</t>
  </si>
  <si>
    <t>W. Checkpoint 1</t>
  </si>
  <si>
    <t>Team +Ian</t>
  </si>
  <si>
    <t>PM Meeting 2</t>
  </si>
  <si>
    <t>Team review meeting (webex)</t>
  </si>
  <si>
    <t>Team - Deeksha, +Ian</t>
  </si>
  <si>
    <t>Team meeting</t>
  </si>
  <si>
    <t>Simi, Xueling, Shu, Sree, Varnika</t>
  </si>
  <si>
    <t>Billable hours</t>
  </si>
  <si>
    <t>Team review meeting</t>
  </si>
  <si>
    <t>Review Week 1</t>
  </si>
  <si>
    <t>Team Meeting +Review - Week 2</t>
  </si>
  <si>
    <t xml:space="preserve">Planning </t>
  </si>
  <si>
    <t>Number of attendees</t>
  </si>
  <si>
    <t>Survey reach out discussion</t>
  </si>
  <si>
    <t>Qualtrics workshop(watched online)</t>
  </si>
  <si>
    <t>Designing Strategy</t>
  </si>
  <si>
    <t>Edit Survey in Qualtrics</t>
  </si>
  <si>
    <t>Edit Survey in Qualtrics+Internal meeting</t>
  </si>
  <si>
    <t>Planning+Project research</t>
  </si>
  <si>
    <t>Total participant hours</t>
  </si>
  <si>
    <t>Survey question work</t>
  </si>
  <si>
    <t>W. Checkpoint 2</t>
  </si>
  <si>
    <t>Survey feedback</t>
  </si>
  <si>
    <t>Working session</t>
  </si>
  <si>
    <t>Planning - working sesh</t>
  </si>
  <si>
    <t xml:space="preserve">Hypothesis - research </t>
  </si>
  <si>
    <t>Team feedback</t>
  </si>
  <si>
    <t>Others review (strategy, tools)</t>
  </si>
  <si>
    <t>Team planning - next action items</t>
  </si>
  <si>
    <t>W. Checkpoint 3</t>
  </si>
  <si>
    <t>Research reading - focus groups, survey design</t>
  </si>
  <si>
    <t xml:space="preserve">Informational interview </t>
  </si>
  <si>
    <t>Planning - next steps</t>
  </si>
  <si>
    <t>Research reading - survey implementation</t>
  </si>
  <si>
    <t>Ideation meeting on next steps (flyer, marketing kickoffs)</t>
  </si>
  <si>
    <t>W.Checkpoint 3</t>
  </si>
  <si>
    <t>PM catch ups</t>
  </si>
  <si>
    <t>Review and work on flyer</t>
  </si>
  <si>
    <t>Review and work on market research</t>
  </si>
  <si>
    <t>Review on pretesting</t>
  </si>
  <si>
    <t>W. Checkpoint 4+task prep</t>
  </si>
  <si>
    <t>PM Catch up + Survey work</t>
  </si>
  <si>
    <t>Survey updates on social media</t>
  </si>
  <si>
    <t>Marketing plan</t>
  </si>
  <si>
    <t>Market research review</t>
  </si>
  <si>
    <t>Marketing review</t>
  </si>
  <si>
    <t>Internal Meeting</t>
  </si>
  <si>
    <t>Guest Blog</t>
  </si>
  <si>
    <t>Meeting +notes+PM catch up</t>
  </si>
  <si>
    <t>Survey followups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</si>
</sst>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/d"/>
    <numFmt numFmtId="165" formatCode="mm/dd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rgb="FFFFFF00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2" fillId="0" borderId="0"/>
  </cellStyleXfs>
  <cellXfs count="30">
    <xf numFmtId="0" fontId="0" fillId="0" borderId="0" xfId="0"/>
    <xf numFmtId="0" fontId="0" fillId="0" borderId="1" xfId="0" applyBorder="1"/>
    <xf numFmtId="0" fontId="1" fillId="2" borderId="1" xfId="0" applyFont="1" applyFill="1" applyBorder="1"/>
    <xf numFmtId="16" fontId="1" fillId="2" borderId="1" xfId="0" applyNumberFormat="1" applyFont="1" applyFill="1" applyBorder="1"/>
    <xf numFmtId="0" fontId="1" fillId="3" borderId="1" xfId="0" applyFont="1" applyFill="1" applyBorder="1"/>
    <xf numFmtId="0" fontId="0" fillId="3" borderId="1" xfId="0" applyFill="1" applyBorder="1"/>
    <xf numFmtId="0" fontId="1" fillId="4" borderId="1" xfId="0" applyFont="1" applyFill="1" applyBorder="1"/>
    <xf numFmtId="0" fontId="0" fillId="4" borderId="1" xfId="0" applyFill="1" applyBorder="1"/>
    <xf numFmtId="0" fontId="1" fillId="5" borderId="1" xfId="0" applyFont="1" applyFill="1" applyBorder="1"/>
    <xf numFmtId="0" fontId="0" fillId="5" borderId="1" xfId="0" applyFill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4" fontId="0" fillId="0" borderId="0" xfId="0" applyNumberFormat="1"/>
    <xf numFmtId="16" fontId="0" fillId="0" borderId="0" xfId="0" applyNumberFormat="1"/>
    <xf numFmtId="0" fontId="0" fillId="2" borderId="1" xfId="0" applyFill="1" applyBorder="1"/>
    <xf numFmtId="14" fontId="0" fillId="0" borderId="1" xfId="0" applyNumberFormat="1" applyBorder="1"/>
    <xf numFmtId="0" fontId="0" fillId="0" borderId="2" xfId="0" applyFont="1" applyBorder="1"/>
    <xf numFmtId="0" fontId="0" fillId="0" borderId="2" xfId="0" applyFont="1" applyBorder="1" applyAlignment="1"/>
    <xf numFmtId="14" fontId="0" fillId="0" borderId="2" xfId="0" applyNumberFormat="1" applyFont="1" applyBorder="1" applyAlignment="1"/>
    <xf numFmtId="0" fontId="2" fillId="6" borderId="2" xfId="1" applyFont="1" applyFill="1" applyBorder="1"/>
    <xf numFmtId="0" fontId="2" fillId="6" borderId="2" xfId="1" applyFont="1" applyFill="1" applyBorder="1" applyAlignment="1"/>
    <xf numFmtId="0" fontId="2" fillId="0" borderId="2" xfId="1" applyFont="1" applyBorder="1" applyAlignment="1"/>
    <xf numFmtId="164" fontId="2" fillId="0" borderId="2" xfId="1" applyNumberFormat="1" applyFont="1" applyBorder="1" applyAlignment="1"/>
    <xf numFmtId="165" fontId="2" fillId="0" borderId="2" xfId="1" applyNumberFormat="1" applyFont="1" applyBorder="1" applyAlignment="1"/>
    <xf numFmtId="14" fontId="3" fillId="0" borderId="0" xfId="0" applyNumberFormat="1" applyFont="1" applyAlignment="1"/>
    <xf numFmtId="14" fontId="0" fillId="0" borderId="0" xfId="0" applyNumberFormat="1" applyFont="1" applyBorder="1" applyAlignment="1"/>
    <xf numFmtId="0" fontId="0" fillId="0" borderId="0" xfId="0" applyFont="1" applyFill="1" applyBorder="1" applyAlignment="1"/>
    <xf numFmtId="0" fontId="0" fillId="0" borderId="3" xfId="0" applyFont="1" applyFill="1" applyBorder="1" applyAlignment="1"/>
    <xf numFmtId="16" fontId="0" fillId="0" borderId="1" xfId="0" applyNumberFormat="1" applyBorder="1"/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</xdr:row>
          <xdr:rowOff>12700</xdr:rowOff>
        </xdr:from>
        <xdr:to>
          <xdr:col>0</xdr:col>
          <xdr:colOff>1416050</xdr:colOff>
          <xdr:row>3</xdr:row>
          <xdr:rowOff>44450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Table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hor" refreshedDate="42922.777860648152" createdVersion="6" refreshedVersion="6" minRefreshableVersion="3" recordCount="78">
  <cacheSource type="worksheet">
    <worksheetSource name="Utilization_Data"/>
  </cacheSource>
  <cacheFields count="5">
    <cacheField name="Week" numFmtId="14">
      <sharedItems containsSemiMixedTypes="0" containsNonDate="0" containsDate="1" containsString="0" minDate="2017-06-12T00:00:00" maxDate="2017-07-04T00:00:00" count="6">
        <d v="2017-06-12T00:00:00"/>
        <d v="2017-06-19T00:00:00"/>
        <d v="2017-06-26T00:00:00"/>
        <d v="2017-07-03T00:00:00"/>
        <d v="2017-06-21T00:00:00" u="1"/>
        <d v="2017-06-22T00:00:00" u="1"/>
      </sharedItems>
    </cacheField>
    <cacheField name="Resource" numFmtId="0">
      <sharedItems count="10">
        <s v="Sriraman Krishnamurthy"/>
        <s v="Sree Inturi"/>
        <s v="Varnika Yertha"/>
        <s v="Deeksha Ramesh"/>
        <s v="Seemantini Chincholkar"/>
        <s v="Pruthvi Nagaraju"/>
        <s v="Jinwei Wang"/>
        <s v="Shu-Feng Tsao"/>
        <s v="Xueling Chen"/>
        <s v="Seemanthini Chincholkar" u="1"/>
      </sharedItems>
    </cacheField>
    <cacheField name="Task/ Activity" numFmtId="0">
      <sharedItems/>
    </cacheField>
    <cacheField name="Hours" numFmtId="0">
      <sharedItems containsSemiMixedTypes="0" containsString="0" containsNumber="1" minValue="0.5" maxValue="3.5"/>
    </cacheField>
    <cacheField name="Comment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8">
  <r>
    <x v="0"/>
    <x v="0"/>
    <s v="Team intro"/>
    <n v="1.5"/>
    <m/>
  </r>
  <r>
    <x v="0"/>
    <x v="1"/>
    <s v="Team intro"/>
    <n v="1.5"/>
    <m/>
  </r>
  <r>
    <x v="0"/>
    <x v="2"/>
    <s v="Team intro"/>
    <n v="1.5"/>
    <m/>
  </r>
  <r>
    <x v="0"/>
    <x v="3"/>
    <s v="Team intro"/>
    <n v="1.5"/>
    <m/>
  </r>
  <r>
    <x v="0"/>
    <x v="4"/>
    <s v="Team intro"/>
    <n v="1.5"/>
    <m/>
  </r>
  <r>
    <x v="0"/>
    <x v="5"/>
    <s v="Team intro"/>
    <n v="1.5"/>
    <m/>
  </r>
  <r>
    <x v="0"/>
    <x v="6"/>
    <s v="Team intro"/>
    <n v="1.5"/>
    <m/>
  </r>
  <r>
    <x v="0"/>
    <x v="7"/>
    <s v="Team intro"/>
    <n v="1.5"/>
    <m/>
  </r>
  <r>
    <x v="0"/>
    <x v="8"/>
    <s v="Team intro"/>
    <n v="1.5"/>
    <m/>
  </r>
  <r>
    <x v="1"/>
    <x v="2"/>
    <s v="Kickoff Meeting with Ian"/>
    <n v="3"/>
    <m/>
  </r>
  <r>
    <x v="1"/>
    <x v="3"/>
    <s v="Kickoff Meeting with Ian"/>
    <n v="3"/>
    <m/>
  </r>
  <r>
    <x v="1"/>
    <x v="4"/>
    <s v="Kickoff Meeting with Ian"/>
    <n v="3"/>
    <m/>
  </r>
  <r>
    <x v="1"/>
    <x v="5"/>
    <s v="Kickoff Meeting with Ian"/>
    <n v="3"/>
    <m/>
  </r>
  <r>
    <x v="1"/>
    <x v="6"/>
    <s v="Kickoff Meeting with Ian"/>
    <n v="3"/>
    <m/>
  </r>
  <r>
    <x v="1"/>
    <x v="7"/>
    <s v="Kickoff Meeting with Ian"/>
    <n v="3"/>
    <m/>
  </r>
  <r>
    <x v="1"/>
    <x v="8"/>
    <s v="Kickoff Meeting with Ian"/>
    <n v="3"/>
    <m/>
  </r>
  <r>
    <x v="1"/>
    <x v="2"/>
    <s v="Planning+Project research"/>
    <n v="2.5"/>
    <m/>
  </r>
  <r>
    <x v="1"/>
    <x v="1"/>
    <s v="Planning+Project research"/>
    <n v="2.5"/>
    <m/>
  </r>
  <r>
    <x v="1"/>
    <x v="8"/>
    <s v="Group meeting + work about career proccess and Pain points"/>
    <n v="2"/>
    <m/>
  </r>
  <r>
    <x v="1"/>
    <x v="6"/>
    <s v="Meeting + Survey structure design"/>
    <n v="1"/>
    <m/>
  </r>
  <r>
    <x v="1"/>
    <x v="5"/>
    <s v="Survey Structure discussion"/>
    <n v="1"/>
    <m/>
  </r>
  <r>
    <x v="1"/>
    <x v="1"/>
    <s v="Utilization tracker"/>
    <n v="1"/>
    <m/>
  </r>
  <r>
    <x v="1"/>
    <x v="2"/>
    <s v="Write up"/>
    <n v="1"/>
    <m/>
  </r>
  <r>
    <x v="1"/>
    <x v="1"/>
    <s v="Kickoff Meeting with Ian"/>
    <n v="3"/>
    <m/>
  </r>
  <r>
    <x v="1"/>
    <x v="2"/>
    <s v="Review Week 1"/>
    <n v="2"/>
    <m/>
  </r>
  <r>
    <x v="1"/>
    <x v="1"/>
    <s v="Review Week 1"/>
    <n v="2"/>
    <m/>
  </r>
  <r>
    <x v="2"/>
    <x v="8"/>
    <s v="Group meeting + work on survey &amp; comments"/>
    <n v="1.5"/>
    <m/>
  </r>
  <r>
    <x v="2"/>
    <x v="4"/>
    <s v="Internal meeting"/>
    <n v="1"/>
    <m/>
  </r>
  <r>
    <x v="2"/>
    <x v="3"/>
    <s v="Internal meeting"/>
    <n v="1"/>
    <m/>
  </r>
  <r>
    <x v="2"/>
    <x v="5"/>
    <s v="Internal meeting +Question design"/>
    <n v="1"/>
    <m/>
  </r>
  <r>
    <x v="2"/>
    <x v="5"/>
    <s v="Internal team meeting"/>
    <n v="1"/>
    <m/>
  </r>
  <r>
    <x v="2"/>
    <x v="7"/>
    <s v="Meeting + Career process diagram &amp; pain points"/>
    <n v="2.5"/>
    <m/>
  </r>
  <r>
    <x v="2"/>
    <x v="0"/>
    <s v="Meeting + Career process diagram &amp; pain points"/>
    <n v="1.5"/>
    <m/>
  </r>
  <r>
    <x v="2"/>
    <x v="6"/>
    <s v="Meeting + Survey questions"/>
    <n v="1"/>
    <m/>
  </r>
  <r>
    <x v="2"/>
    <x v="7"/>
    <s v="Meeting + Survey comments"/>
    <n v="1.5"/>
    <m/>
  </r>
  <r>
    <x v="2"/>
    <x v="6"/>
    <s v="Meeting + Survey questions"/>
    <n v="2"/>
    <m/>
  </r>
  <r>
    <x v="2"/>
    <x v="2"/>
    <s v="PM Meeting 1"/>
    <n v="1"/>
    <m/>
  </r>
  <r>
    <x v="2"/>
    <x v="1"/>
    <s v="PM Meeting 1"/>
    <n v="1"/>
    <m/>
  </r>
  <r>
    <x v="2"/>
    <x v="2"/>
    <s v="Planning "/>
    <n v="2"/>
    <m/>
  </r>
  <r>
    <x v="2"/>
    <x v="1"/>
    <s v="Planning"/>
    <n v="2"/>
    <m/>
  </r>
  <r>
    <x v="2"/>
    <x v="1"/>
    <s v="Team Meeting +Review - Week 2"/>
    <n v="3.5"/>
    <m/>
  </r>
  <r>
    <x v="2"/>
    <x v="2"/>
    <s v="Team Meeting +Review - Week 2"/>
    <n v="3.5"/>
    <m/>
  </r>
  <r>
    <x v="2"/>
    <x v="8"/>
    <s v="Team Meeting + work on process flow graph"/>
    <n v="2.5"/>
    <m/>
  </r>
  <r>
    <x v="2"/>
    <x v="5"/>
    <s v="W. Checkpoint 1"/>
    <n v="1.5"/>
    <m/>
  </r>
  <r>
    <x v="2"/>
    <x v="7"/>
    <s v="W. Checkpoint 1"/>
    <n v="1.5"/>
    <m/>
  </r>
  <r>
    <x v="2"/>
    <x v="0"/>
    <s v="W. Checkpoint 1"/>
    <n v="1.5"/>
    <m/>
  </r>
  <r>
    <x v="2"/>
    <x v="4"/>
    <s v="W. Checkpoint 1"/>
    <n v="1.5"/>
    <m/>
  </r>
  <r>
    <x v="2"/>
    <x v="3"/>
    <s v="W. Checkpoint 1"/>
    <n v="1.5"/>
    <m/>
  </r>
  <r>
    <x v="2"/>
    <x v="6"/>
    <s v="W. Checkpoint 1"/>
    <n v="1.5"/>
    <m/>
  </r>
  <r>
    <x v="2"/>
    <x v="8"/>
    <s v="W. Checkpoint 1"/>
    <n v="1.5"/>
    <m/>
  </r>
  <r>
    <x v="2"/>
    <x v="1"/>
    <s v="W. Checkpoint 1"/>
    <n v="1.5"/>
    <m/>
  </r>
  <r>
    <x v="2"/>
    <x v="2"/>
    <s v="W. Checkpoint 1"/>
    <n v="1.5"/>
    <m/>
  </r>
  <r>
    <x v="2"/>
    <x v="1"/>
    <s v="PM Meeting 2"/>
    <n v="0.5"/>
    <m/>
  </r>
  <r>
    <x v="2"/>
    <x v="2"/>
    <s v="PM Meeting 2"/>
    <n v="0.5"/>
    <m/>
  </r>
  <r>
    <x v="3"/>
    <x v="1"/>
    <s v="Planning"/>
    <n v="1"/>
    <m/>
  </r>
  <r>
    <x v="3"/>
    <x v="2"/>
    <s v="Planning"/>
    <n v="1"/>
    <m/>
  </r>
  <r>
    <x v="3"/>
    <x v="5"/>
    <s v="Qualtrics workshop"/>
    <n v="2"/>
    <m/>
  </r>
  <r>
    <x v="3"/>
    <x v="8"/>
    <s v="Qualtrics workshop"/>
    <n v="2"/>
    <m/>
  </r>
  <r>
    <x v="3"/>
    <x v="7"/>
    <s v="Qualtrics workshop"/>
    <n v="2"/>
    <m/>
  </r>
  <r>
    <x v="3"/>
    <x v="6"/>
    <s v="Qualtrics workshop"/>
    <n v="2"/>
    <m/>
  </r>
  <r>
    <x v="3"/>
    <x v="0"/>
    <s v="Qualtrics workshop"/>
    <n v="2"/>
    <m/>
  </r>
  <r>
    <x v="3"/>
    <x v="2"/>
    <s v="Qualtrics workshop"/>
    <n v="2"/>
    <m/>
  </r>
  <r>
    <x v="3"/>
    <x v="1"/>
    <s v="Qualtrics workshop"/>
    <n v="2"/>
    <m/>
  </r>
  <r>
    <x v="3"/>
    <x v="4"/>
    <s v="Qualtrics workshop"/>
    <n v="2"/>
    <m/>
  </r>
  <r>
    <x v="3"/>
    <x v="7"/>
    <s v="Team meeting"/>
    <n v="1.5"/>
    <m/>
  </r>
  <r>
    <x v="3"/>
    <x v="2"/>
    <s v="Team meeting"/>
    <n v="1.5"/>
    <m/>
  </r>
  <r>
    <x v="3"/>
    <x v="1"/>
    <s v="Team meeting"/>
    <n v="1.5"/>
    <m/>
  </r>
  <r>
    <x v="3"/>
    <x v="4"/>
    <s v="Team meeting"/>
    <n v="1.5"/>
    <m/>
  </r>
  <r>
    <x v="3"/>
    <x v="8"/>
    <s v="Team meeting"/>
    <n v="1.5"/>
    <m/>
  </r>
  <r>
    <x v="1"/>
    <x v="3"/>
    <s v="Survey reach out discussion"/>
    <n v="1"/>
    <m/>
  </r>
  <r>
    <x v="3"/>
    <x v="3"/>
    <s v="Qualtrics workshop(watched online)"/>
    <n v="2"/>
    <m/>
  </r>
  <r>
    <x v="3"/>
    <x v="3"/>
    <s v="Designing Strategy"/>
    <n v="3"/>
    <m/>
  </r>
  <r>
    <x v="3"/>
    <x v="4"/>
    <s v="Qualtrics workshop"/>
    <n v="2"/>
    <m/>
  </r>
  <r>
    <x v="3"/>
    <x v="4"/>
    <s v="Internal meeting"/>
    <n v="1.5"/>
    <m/>
  </r>
  <r>
    <x v="1"/>
    <x v="4"/>
    <s v="Survey reach out discussion"/>
    <n v="1"/>
    <m/>
  </r>
  <r>
    <x v="3"/>
    <x v="4"/>
    <s v="Designing Strategy"/>
    <n v="1.5"/>
    <m/>
  </r>
  <r>
    <x v="3"/>
    <x v="6"/>
    <s v="Edit Survey in Qualtrics"/>
    <n v="2"/>
    <m/>
  </r>
  <r>
    <x v="3"/>
    <x v="8"/>
    <s v="Edit Survey in Qualtrics+Internal meeting"/>
    <n v="3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2" rowHeaderCaption="Resource" colHeaderCaption="Week Starting">
  <location ref="A5:F16" firstHeaderRow="1" firstDataRow="2" firstDataCol="1"/>
  <pivotFields count="5">
    <pivotField axis="axisCol" numFmtId="14" subtotalTop="0" showAll="0">
      <items count="7">
        <item x="0"/>
        <item x="1"/>
        <item x="2"/>
        <item x="3"/>
        <item m="1" x="4"/>
        <item m="1" x="5"/>
        <item t="default"/>
      </items>
    </pivotField>
    <pivotField axis="axisRow" subtotalTop="0" showAll="0">
      <items count="11">
        <item x="3"/>
        <item x="6"/>
        <item x="5"/>
        <item m="1" x="9"/>
        <item x="7"/>
        <item x="1"/>
        <item x="0"/>
        <item x="2"/>
        <item x="8"/>
        <item x="4"/>
        <item t="default"/>
      </items>
    </pivotField>
    <pivotField showAll="0"/>
    <pivotField dataField="1" subtotalTop="0" showAll="0"/>
    <pivotField subtotalTop="0" showAll="0"/>
  </pivotFields>
  <rowFields count="1">
    <field x="1"/>
  </rowFields>
  <rowItems count="10">
    <i>
      <x/>
    </i>
    <i>
      <x v="1"/>
    </i>
    <i>
      <x v="2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0"/>
  </colFields>
  <colItems count="5">
    <i>
      <x/>
    </i>
    <i>
      <x v="1"/>
    </i>
    <i>
      <x v="2"/>
    </i>
    <i>
      <x v="3"/>
    </i>
    <i t="grand">
      <x/>
    </i>
  </colItems>
  <dataFields count="1">
    <dataField name="Work Hours" fld="3" baseField="0" baseItem="0"/>
  </dataFields>
  <chartFormats count="4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N42"/>
  <sheetViews>
    <sheetView showGridLines="0" zoomScale="70" zoomScaleNormal="70" workbookViewId="0">
      <selection activeCell="B11" sqref="B11:B35"/>
    </sheetView>
  </sheetViews>
  <sheetFormatPr defaultRowHeight="14.5" x14ac:dyDescent="0.35"/>
  <cols>
    <col min="2" max="2" width="35.08984375" customWidth="1"/>
    <col min="3" max="3" width="26.08984375" customWidth="1"/>
    <col min="4" max="4" width="27.6328125" customWidth="1"/>
    <col min="5" max="5" width="30" customWidth="1"/>
    <col min="6" max="6" width="26.81640625" customWidth="1"/>
  </cols>
  <sheetData>
    <row r="2" spans="2:14" x14ac:dyDescent="0.35">
      <c r="B2" s="2" t="s">
        <v>1</v>
      </c>
      <c r="C2" s="2" t="s">
        <v>0</v>
      </c>
      <c r="D2" s="3">
        <v>42898</v>
      </c>
      <c r="E2" s="3">
        <v>42905</v>
      </c>
      <c r="F2" s="3">
        <v>42912</v>
      </c>
      <c r="G2" s="3">
        <v>42919</v>
      </c>
      <c r="H2" s="3">
        <v>42926</v>
      </c>
      <c r="I2" s="3">
        <v>42933</v>
      </c>
      <c r="J2" s="3">
        <v>42940</v>
      </c>
      <c r="K2" s="3">
        <v>42947</v>
      </c>
      <c r="L2" s="3">
        <v>42954</v>
      </c>
      <c r="M2" s="3">
        <v>42961</v>
      </c>
      <c r="N2" s="3">
        <v>42968</v>
      </c>
    </row>
    <row r="3" spans="2:14" x14ac:dyDescent="0.35">
      <c r="B3" s="4" t="s">
        <v>2</v>
      </c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</row>
    <row r="4" spans="2:14" x14ac:dyDescent="0.35"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</row>
    <row r="5" spans="2:14" x14ac:dyDescent="0.35"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</row>
    <row r="6" spans="2:14" x14ac:dyDescent="0.35"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</row>
    <row r="7" spans="2:14" x14ac:dyDescent="0.35">
      <c r="B7" s="4" t="s">
        <v>3</v>
      </c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</row>
    <row r="8" spans="2:14" x14ac:dyDescent="0.35"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</row>
    <row r="9" spans="2:14" x14ac:dyDescent="0.35"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</row>
    <row r="10" spans="2:14" x14ac:dyDescent="0.35"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</row>
    <row r="11" spans="2:14" x14ac:dyDescent="0.35">
      <c r="B11" s="4" t="s">
        <v>4</v>
      </c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</row>
    <row r="12" spans="2:14" x14ac:dyDescent="0.35"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</row>
    <row r="13" spans="2:14" x14ac:dyDescent="0.35"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</row>
    <row r="14" spans="2:14" x14ac:dyDescent="0.35"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</row>
    <row r="15" spans="2:14" x14ac:dyDescent="0.35">
      <c r="B15" s="4" t="s">
        <v>5</v>
      </c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</row>
    <row r="16" spans="2:14" x14ac:dyDescent="0.35"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</row>
    <row r="17" spans="2:14" x14ac:dyDescent="0.35"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</row>
    <row r="18" spans="2:14" x14ac:dyDescent="0.35"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2:14" x14ac:dyDescent="0.35">
      <c r="B19" s="4" t="s">
        <v>6</v>
      </c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</row>
    <row r="20" spans="2:14" x14ac:dyDescent="0.35"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2:14" x14ac:dyDescent="0.35"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2:14" x14ac:dyDescent="0.35"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</row>
    <row r="23" spans="2:14" x14ac:dyDescent="0.35">
      <c r="B23" s="4" t="s">
        <v>7</v>
      </c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</row>
    <row r="24" spans="2:14" x14ac:dyDescent="0.35"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</row>
    <row r="25" spans="2:14" x14ac:dyDescent="0.35"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</row>
    <row r="26" spans="2:14" x14ac:dyDescent="0.35"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</row>
    <row r="27" spans="2:14" x14ac:dyDescent="0.35">
      <c r="B27" s="4" t="s">
        <v>8</v>
      </c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</row>
    <row r="28" spans="2:14" x14ac:dyDescent="0.35"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</row>
    <row r="29" spans="2:14" x14ac:dyDescent="0.35"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</row>
    <row r="30" spans="2:14" x14ac:dyDescent="0.35"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</row>
    <row r="31" spans="2:14" x14ac:dyDescent="0.35">
      <c r="B31" s="4" t="s">
        <v>9</v>
      </c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</row>
    <row r="32" spans="2:14" x14ac:dyDescent="0.35"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</row>
    <row r="33" spans="2:14" x14ac:dyDescent="0.35"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</row>
    <row r="34" spans="2:14" x14ac:dyDescent="0.35"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</row>
    <row r="35" spans="2:14" x14ac:dyDescent="0.35">
      <c r="B35" s="4" t="s">
        <v>10</v>
      </c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</row>
    <row r="36" spans="2:14" x14ac:dyDescent="0.35"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</row>
    <row r="37" spans="2:14" x14ac:dyDescent="0.35"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</row>
    <row r="38" spans="2:14" x14ac:dyDescent="0.35">
      <c r="B38" s="6" t="s">
        <v>11</v>
      </c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</row>
    <row r="39" spans="2:14" x14ac:dyDescent="0.35"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</row>
    <row r="40" spans="2:14" x14ac:dyDescent="0.35"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</row>
    <row r="41" spans="2:14" x14ac:dyDescent="0.35"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</row>
    <row r="42" spans="2:14" x14ac:dyDescent="0.35">
      <c r="B42" s="8" t="s">
        <v>12</v>
      </c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E27"/>
  <sheetViews>
    <sheetView showGridLines="0" workbookViewId="0">
      <selection activeCell="E7" sqref="E7"/>
    </sheetView>
  </sheetViews>
  <sheetFormatPr defaultRowHeight="14.5" x14ac:dyDescent="0.35"/>
  <cols>
    <col min="1" max="1" width="9.54296875" style="16" customWidth="1"/>
    <col min="2" max="2" width="22.453125" style="1" customWidth="1"/>
    <col min="3" max="3" width="37.90625" style="1" customWidth="1"/>
    <col min="4" max="4" width="8.90625" style="1"/>
    <col min="5" max="5" width="9.81640625" style="1" customWidth="1"/>
  </cols>
  <sheetData>
    <row r="1" spans="1:5" x14ac:dyDescent="0.35">
      <c r="A1" s="15" t="s">
        <v>15</v>
      </c>
      <c r="B1" s="15" t="s">
        <v>1</v>
      </c>
      <c r="C1" s="15" t="s">
        <v>22</v>
      </c>
      <c r="D1" s="15" t="s">
        <v>14</v>
      </c>
      <c r="E1" s="15" t="s">
        <v>18</v>
      </c>
    </row>
    <row r="2" spans="1:5" hidden="1" x14ac:dyDescent="0.35">
      <c r="A2" s="19">
        <v>42907</v>
      </c>
      <c r="B2" s="18" t="s">
        <v>2</v>
      </c>
      <c r="C2" s="18" t="s">
        <v>33</v>
      </c>
      <c r="D2" s="18">
        <v>1</v>
      </c>
    </row>
    <row r="3" spans="1:5" hidden="1" x14ac:dyDescent="0.35">
      <c r="A3" s="19">
        <v>42905</v>
      </c>
      <c r="B3" s="18" t="s">
        <v>2</v>
      </c>
      <c r="C3" s="18" t="s">
        <v>35</v>
      </c>
      <c r="D3" s="18">
        <v>2</v>
      </c>
    </row>
    <row r="4" spans="1:5" hidden="1" x14ac:dyDescent="0.35">
      <c r="A4" s="19">
        <v>42905</v>
      </c>
      <c r="B4" s="18" t="s">
        <v>3</v>
      </c>
      <c r="C4" s="18" t="s">
        <v>35</v>
      </c>
      <c r="D4" s="18">
        <v>2</v>
      </c>
    </row>
    <row r="5" spans="1:5" hidden="1" x14ac:dyDescent="0.35">
      <c r="A5" s="19">
        <v>42905</v>
      </c>
      <c r="B5" s="18" t="s">
        <v>3</v>
      </c>
      <c r="C5" s="18" t="s">
        <v>36</v>
      </c>
      <c r="D5" s="18">
        <v>1</v>
      </c>
    </row>
    <row r="6" spans="1:5" x14ac:dyDescent="0.35">
      <c r="A6" s="19">
        <v>42912</v>
      </c>
      <c r="B6" s="18" t="s">
        <v>9</v>
      </c>
      <c r="C6" s="18" t="s">
        <v>26</v>
      </c>
      <c r="D6" s="18">
        <v>2.5</v>
      </c>
    </row>
    <row r="7" spans="1:5" x14ac:dyDescent="0.35">
      <c r="A7" s="19">
        <v>42912</v>
      </c>
      <c r="B7" s="18" t="s">
        <v>9</v>
      </c>
      <c r="C7" s="18" t="s">
        <v>27</v>
      </c>
      <c r="D7" s="18">
        <v>1.5</v>
      </c>
    </row>
    <row r="8" spans="1:5" x14ac:dyDescent="0.35">
      <c r="A8" s="19">
        <v>42912</v>
      </c>
      <c r="B8" s="18" t="s">
        <v>7</v>
      </c>
      <c r="C8" s="18" t="s">
        <v>26</v>
      </c>
      <c r="D8" s="18">
        <v>1.5</v>
      </c>
    </row>
    <row r="9" spans="1:5" x14ac:dyDescent="0.35">
      <c r="A9" s="19">
        <v>42912</v>
      </c>
      <c r="B9" s="18" t="s">
        <v>25</v>
      </c>
      <c r="C9" s="18" t="s">
        <v>28</v>
      </c>
      <c r="D9" s="18">
        <v>1</v>
      </c>
    </row>
    <row r="10" spans="1:5" hidden="1" x14ac:dyDescent="0.35">
      <c r="A10" s="19">
        <v>42919</v>
      </c>
      <c r="B10" s="18" t="s">
        <v>9</v>
      </c>
      <c r="C10" s="18" t="s">
        <v>29</v>
      </c>
      <c r="D10" s="18">
        <v>2</v>
      </c>
    </row>
    <row r="11" spans="1:5" x14ac:dyDescent="0.35">
      <c r="A11" s="19">
        <v>42912</v>
      </c>
      <c r="B11" s="18" t="s">
        <v>4</v>
      </c>
      <c r="C11" s="18" t="s">
        <v>28</v>
      </c>
      <c r="D11" s="18">
        <v>1</v>
      </c>
    </row>
    <row r="12" spans="1:5" x14ac:dyDescent="0.35">
      <c r="A12" s="19">
        <v>42905</v>
      </c>
      <c r="B12" s="18" t="s">
        <v>8</v>
      </c>
      <c r="C12" s="18" t="s">
        <v>30</v>
      </c>
      <c r="D12" s="18">
        <v>1</v>
      </c>
    </row>
    <row r="13" spans="1:5" x14ac:dyDescent="0.35">
      <c r="A13" s="19">
        <v>42912</v>
      </c>
      <c r="B13" s="18" t="s">
        <v>8</v>
      </c>
      <c r="C13" s="18" t="s">
        <v>31</v>
      </c>
      <c r="D13" s="18">
        <v>2</v>
      </c>
    </row>
    <row r="14" spans="1:5" hidden="1" x14ac:dyDescent="0.35">
      <c r="A14" s="19">
        <v>42912</v>
      </c>
      <c r="B14" s="18" t="s">
        <v>3</v>
      </c>
      <c r="C14" s="18" t="s">
        <v>37</v>
      </c>
      <c r="D14" s="18">
        <v>3</v>
      </c>
    </row>
    <row r="15" spans="1:5" x14ac:dyDescent="0.35">
      <c r="A15" s="19">
        <v>42912</v>
      </c>
      <c r="B15" s="18" t="s">
        <v>8</v>
      </c>
      <c r="C15" s="18" t="s">
        <v>32</v>
      </c>
      <c r="D15" s="18">
        <v>1</v>
      </c>
    </row>
    <row r="16" spans="1:5" hidden="1" x14ac:dyDescent="0.35">
      <c r="A16" s="19">
        <v>42912</v>
      </c>
      <c r="B16" s="18" t="s">
        <v>2</v>
      </c>
      <c r="C16" s="18" t="s">
        <v>37</v>
      </c>
      <c r="D16" s="18">
        <v>3</v>
      </c>
    </row>
    <row r="17" spans="1:4" hidden="1" x14ac:dyDescent="0.35">
      <c r="A17" s="19">
        <v>42919</v>
      </c>
      <c r="B17" s="18" t="s">
        <v>8</v>
      </c>
      <c r="C17" s="18" t="s">
        <v>29</v>
      </c>
      <c r="D17" s="18">
        <v>2</v>
      </c>
    </row>
    <row r="18" spans="1:4" hidden="1" x14ac:dyDescent="0.35">
      <c r="A18" s="19">
        <v>42905</v>
      </c>
      <c r="B18" s="18" t="s">
        <v>6</v>
      </c>
      <c r="C18" s="18" t="s">
        <v>38</v>
      </c>
      <c r="D18" s="18">
        <v>1</v>
      </c>
    </row>
    <row r="19" spans="1:4" x14ac:dyDescent="0.35">
      <c r="A19" s="19">
        <v>42912</v>
      </c>
      <c r="B19" s="18" t="s">
        <v>6</v>
      </c>
      <c r="C19" s="18" t="s">
        <v>39</v>
      </c>
      <c r="D19" s="18">
        <v>1</v>
      </c>
    </row>
    <row r="20" spans="1:4" x14ac:dyDescent="0.35">
      <c r="A20" s="19">
        <v>42912</v>
      </c>
      <c r="B20" s="18" t="s">
        <v>6</v>
      </c>
      <c r="C20" s="18" t="s">
        <v>40</v>
      </c>
      <c r="D20" s="18">
        <v>1</v>
      </c>
    </row>
    <row r="21" spans="1:4" hidden="1" x14ac:dyDescent="0.35">
      <c r="A21" s="19">
        <v>42919</v>
      </c>
      <c r="B21" s="18" t="s">
        <v>6</v>
      </c>
      <c r="C21" s="18" t="s">
        <v>41</v>
      </c>
      <c r="D21" s="18">
        <v>2</v>
      </c>
    </row>
    <row r="22" spans="1:4" hidden="1" x14ac:dyDescent="0.35">
      <c r="A22" s="19">
        <v>42905</v>
      </c>
      <c r="B22" s="18" t="s">
        <v>10</v>
      </c>
      <c r="C22" s="18" t="s">
        <v>42</v>
      </c>
      <c r="D22" s="18">
        <v>2</v>
      </c>
    </row>
    <row r="23" spans="1:4" x14ac:dyDescent="0.35">
      <c r="A23" s="19">
        <v>42912</v>
      </c>
      <c r="B23" s="18" t="s">
        <v>10</v>
      </c>
      <c r="C23" s="18" t="s">
        <v>43</v>
      </c>
      <c r="D23" s="18">
        <v>2.5</v>
      </c>
    </row>
    <row r="24" spans="1:4" hidden="1" x14ac:dyDescent="0.35">
      <c r="A24" s="19">
        <v>42912</v>
      </c>
      <c r="B24" s="18" t="s">
        <v>10</v>
      </c>
      <c r="C24" s="18" t="s">
        <v>44</v>
      </c>
      <c r="D24" s="18">
        <v>1.5</v>
      </c>
    </row>
    <row r="25" spans="1:4" hidden="1" x14ac:dyDescent="0.35">
      <c r="A25" s="19">
        <v>42919</v>
      </c>
      <c r="B25" s="18" t="s">
        <v>10</v>
      </c>
      <c r="C25" s="18" t="s">
        <v>41</v>
      </c>
      <c r="D25" s="18">
        <v>2</v>
      </c>
    </row>
    <row r="26" spans="1:4" hidden="1" x14ac:dyDescent="0.35">
      <c r="A26" s="19">
        <v>42919</v>
      </c>
      <c r="B26" s="18" t="s">
        <v>3</v>
      </c>
      <c r="C26" s="18" t="s">
        <v>35</v>
      </c>
      <c r="D26" s="18">
        <v>1</v>
      </c>
    </row>
    <row r="27" spans="1:4" hidden="1" x14ac:dyDescent="0.35">
      <c r="A27" s="19">
        <v>42919</v>
      </c>
      <c r="B27" s="18" t="s">
        <v>2</v>
      </c>
      <c r="C27" s="18" t="s">
        <v>35</v>
      </c>
      <c r="D27" s="18">
        <v>1</v>
      </c>
    </row>
  </sheetData>
  <autoFilter ref="A1:E27">
    <filterColumn colId="2">
      <filters>
        <filter val="Internal meeting"/>
        <filter val="Internal meeting +Question design"/>
        <filter val="Internal team meeting"/>
        <filter val="Meeting + Career process diagram &amp; pain points"/>
        <filter val="Meeting + Surve questions"/>
        <filter val="Meeting + Survey comments"/>
        <filter val="Meeting + Survey questions"/>
        <filter val="Meeting + Survey structure design"/>
        <filter val="Team Meeting + work on process flow graph"/>
      </filters>
    </filterColumn>
  </autoFilter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'Backend list'!$B$3:$B$11</xm:f>
          </x14:formula1>
          <xm:sqref>B2:B1946</xm:sqref>
        </x14:dataValidation>
        <x14:dataValidation type="list" allowBlank="1" showInputMessage="1" showErrorMessage="1">
          <x14:formula1>
            <xm:f>'Backend list'!$A$3:$A$13</xm:f>
          </x14:formula1>
          <xm:sqref>A2:A867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5:F16"/>
  <sheetViews>
    <sheetView showGridLines="0" tabSelected="1" workbookViewId="0">
      <selection activeCell="F11" sqref="F11"/>
    </sheetView>
  </sheetViews>
  <sheetFormatPr defaultRowHeight="14.5" x14ac:dyDescent="0.35"/>
  <cols>
    <col min="1" max="1" width="21.36328125" bestFit="1" customWidth="1"/>
    <col min="2" max="2" width="14.90625" bestFit="1" customWidth="1"/>
    <col min="3" max="4" width="9.453125" bestFit="1" customWidth="1"/>
    <col min="5" max="5" width="8.453125" bestFit="1" customWidth="1"/>
    <col min="6" max="6" width="10.7265625" bestFit="1" customWidth="1"/>
    <col min="7" max="7" width="9.81640625" bestFit="1" customWidth="1"/>
    <col min="8" max="8" width="10.81640625" bestFit="1" customWidth="1"/>
    <col min="10" max="10" width="12.453125" customWidth="1"/>
    <col min="11" max="11" width="12.81640625" customWidth="1"/>
    <col min="12" max="12" width="13.54296875" customWidth="1"/>
  </cols>
  <sheetData>
    <row r="5" spans="1:6" x14ac:dyDescent="0.35">
      <c r="A5" s="10" t="s">
        <v>24</v>
      </c>
      <c r="B5" s="10" t="s">
        <v>23</v>
      </c>
    </row>
    <row r="6" spans="1:6" x14ac:dyDescent="0.35">
      <c r="A6" s="10" t="s">
        <v>1</v>
      </c>
      <c r="B6" s="13">
        <v>42898</v>
      </c>
      <c r="C6" s="13">
        <v>42905</v>
      </c>
      <c r="D6" s="13">
        <v>42912</v>
      </c>
      <c r="E6" s="13">
        <v>42919</v>
      </c>
      <c r="F6" s="13" t="s">
        <v>16</v>
      </c>
    </row>
    <row r="7" spans="1:6" x14ac:dyDescent="0.35">
      <c r="A7" s="11" t="s">
        <v>4</v>
      </c>
      <c r="B7" s="12">
        <v>1.5</v>
      </c>
      <c r="C7" s="12">
        <v>4</v>
      </c>
      <c r="D7" s="12">
        <v>2.5</v>
      </c>
      <c r="E7" s="12">
        <v>5</v>
      </c>
      <c r="F7" s="12">
        <v>13</v>
      </c>
    </row>
    <row r="8" spans="1:6" x14ac:dyDescent="0.35">
      <c r="A8" s="11" t="s">
        <v>8</v>
      </c>
      <c r="B8" s="12">
        <v>1.5</v>
      </c>
      <c r="C8" s="12">
        <v>4</v>
      </c>
      <c r="D8" s="12">
        <v>4.5</v>
      </c>
      <c r="E8" s="12">
        <v>4</v>
      </c>
      <c r="F8" s="12">
        <v>14</v>
      </c>
    </row>
    <row r="9" spans="1:6" x14ac:dyDescent="0.35">
      <c r="A9" s="11" t="s">
        <v>6</v>
      </c>
      <c r="B9" s="12">
        <v>1.5</v>
      </c>
      <c r="C9" s="12">
        <v>4</v>
      </c>
      <c r="D9" s="12">
        <v>3.5</v>
      </c>
      <c r="E9" s="12">
        <v>2</v>
      </c>
      <c r="F9" s="12">
        <v>11</v>
      </c>
    </row>
    <row r="10" spans="1:6" x14ac:dyDescent="0.35">
      <c r="A10" s="11" t="s">
        <v>9</v>
      </c>
      <c r="B10" s="12">
        <v>1.5</v>
      </c>
      <c r="C10" s="12">
        <v>3</v>
      </c>
      <c r="D10" s="12">
        <v>5.5</v>
      </c>
      <c r="E10" s="12">
        <v>3.5</v>
      </c>
      <c r="F10" s="12">
        <v>13.5</v>
      </c>
    </row>
    <row r="11" spans="1:6" x14ac:dyDescent="0.35">
      <c r="A11" s="11" t="s">
        <v>3</v>
      </c>
      <c r="B11" s="12">
        <v>1.5</v>
      </c>
      <c r="C11" s="12">
        <v>8.5</v>
      </c>
      <c r="D11" s="12">
        <v>8.5</v>
      </c>
      <c r="E11" s="12">
        <v>4.5</v>
      </c>
      <c r="F11" s="12">
        <v>23</v>
      </c>
    </row>
    <row r="12" spans="1:6" x14ac:dyDescent="0.35">
      <c r="A12" s="11" t="s">
        <v>7</v>
      </c>
      <c r="B12" s="12">
        <v>1.5</v>
      </c>
      <c r="C12" s="12"/>
      <c r="D12" s="12">
        <v>3</v>
      </c>
      <c r="E12" s="12">
        <v>2</v>
      </c>
      <c r="F12" s="12">
        <v>6.5</v>
      </c>
    </row>
    <row r="13" spans="1:6" x14ac:dyDescent="0.35">
      <c r="A13" s="11" t="s">
        <v>2</v>
      </c>
      <c r="B13" s="12">
        <v>1.5</v>
      </c>
      <c r="C13" s="12">
        <v>8.5</v>
      </c>
      <c r="D13" s="12">
        <v>8.5</v>
      </c>
      <c r="E13" s="12">
        <v>4.5</v>
      </c>
      <c r="F13" s="12">
        <v>23</v>
      </c>
    </row>
    <row r="14" spans="1:6" x14ac:dyDescent="0.35">
      <c r="A14" s="11" t="s">
        <v>10</v>
      </c>
      <c r="B14" s="12">
        <v>1.5</v>
      </c>
      <c r="C14" s="12">
        <v>5</v>
      </c>
      <c r="D14" s="12">
        <v>5.5</v>
      </c>
      <c r="E14" s="12">
        <v>6.5</v>
      </c>
      <c r="F14" s="12">
        <v>18.5</v>
      </c>
    </row>
    <row r="15" spans="1:6" x14ac:dyDescent="0.35">
      <c r="A15" s="11" t="s">
        <v>25</v>
      </c>
      <c r="B15" s="12">
        <v>1.5</v>
      </c>
      <c r="C15" s="12">
        <v>4</v>
      </c>
      <c r="D15" s="12">
        <v>2.5</v>
      </c>
      <c r="E15" s="12">
        <v>8.5</v>
      </c>
      <c r="F15" s="12">
        <v>16.5</v>
      </c>
    </row>
    <row r="16" spans="1:6" x14ac:dyDescent="0.35">
      <c r="A16" s="11" t="s">
        <v>16</v>
      </c>
      <c r="B16" s="12">
        <v>13.5</v>
      </c>
      <c r="C16" s="12">
        <v>41</v>
      </c>
      <c r="D16" s="12">
        <v>44</v>
      </c>
      <c r="E16" s="12">
        <v>40.5</v>
      </c>
      <c r="F16" s="12">
        <v>139</v>
      </c>
    </row>
  </sheetData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Refresh_Table">
                <anchor moveWithCells="1" sizeWithCells="1">
                  <from>
                    <xdr:col>0</xdr:col>
                    <xdr:colOff>114300</xdr:colOff>
                    <xdr:row>1</xdr:row>
                    <xdr:rowOff>12700</xdr:rowOff>
                  </from>
                  <to>
                    <xdr:col>0</xdr:col>
                    <xdr:colOff>1416050</xdr:colOff>
                    <xdr:row>3</xdr:row>
                    <xdr:rowOff>44450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E113"/>
  <sheetViews>
    <sheetView showGridLines="0" zoomScale="85" zoomScaleNormal="85" workbookViewId="0">
      <selection activeCell="D110" sqref="D110"/>
    </sheetView>
  </sheetViews>
  <sheetFormatPr defaultRowHeight="14.5" x14ac:dyDescent="0.35"/>
  <cols>
    <col min="1" max="1" width="20.6328125" style="16" customWidth="1"/>
    <col min="2" max="2" width="22.453125" style="1" customWidth="1"/>
    <col min="3" max="3" width="48.08984375" style="1" customWidth="1"/>
    <col min="4" max="4" width="8.90625" style="1"/>
    <col min="5" max="5" width="9.81640625" style="1" bestFit="1" customWidth="1"/>
  </cols>
  <sheetData>
    <row r="1" spans="1:5" x14ac:dyDescent="0.35">
      <c r="A1" s="15" t="s">
        <v>15</v>
      </c>
      <c r="B1" s="15" t="s">
        <v>1</v>
      </c>
      <c r="C1" s="15" t="s">
        <v>22</v>
      </c>
      <c r="D1" s="15" t="s">
        <v>14</v>
      </c>
      <c r="E1" s="15" t="s">
        <v>18</v>
      </c>
    </row>
    <row r="2" spans="1:5" hidden="1" x14ac:dyDescent="0.35">
      <c r="A2" s="19">
        <v>42898</v>
      </c>
      <c r="B2" s="18" t="s">
        <v>7</v>
      </c>
      <c r="C2" s="22" t="s">
        <v>46</v>
      </c>
      <c r="D2" s="18">
        <v>1.5</v>
      </c>
    </row>
    <row r="3" spans="1:5" hidden="1" x14ac:dyDescent="0.35">
      <c r="A3" s="19">
        <v>42898</v>
      </c>
      <c r="B3" s="17" t="s">
        <v>3</v>
      </c>
      <c r="C3" s="22" t="s">
        <v>46</v>
      </c>
      <c r="D3" s="18">
        <v>1.5</v>
      </c>
    </row>
    <row r="4" spans="1:5" x14ac:dyDescent="0.35">
      <c r="A4" s="19">
        <v>42898</v>
      </c>
      <c r="B4" s="17" t="s">
        <v>2</v>
      </c>
      <c r="C4" s="22" t="s">
        <v>46</v>
      </c>
      <c r="D4" s="18">
        <v>1.5</v>
      </c>
    </row>
    <row r="5" spans="1:5" hidden="1" x14ac:dyDescent="0.35">
      <c r="A5" s="19">
        <v>42898</v>
      </c>
      <c r="B5" s="17" t="s">
        <v>4</v>
      </c>
      <c r="C5" s="22" t="s">
        <v>46</v>
      </c>
      <c r="D5" s="18">
        <v>1.5</v>
      </c>
    </row>
    <row r="6" spans="1:5" hidden="1" x14ac:dyDescent="0.35">
      <c r="A6" s="19">
        <v>42898</v>
      </c>
      <c r="B6" s="18" t="s">
        <v>25</v>
      </c>
      <c r="C6" s="22" t="s">
        <v>46</v>
      </c>
      <c r="D6" s="18">
        <v>1.5</v>
      </c>
    </row>
    <row r="7" spans="1:5" hidden="1" x14ac:dyDescent="0.35">
      <c r="A7" s="19">
        <v>42898</v>
      </c>
      <c r="B7" s="17" t="s">
        <v>6</v>
      </c>
      <c r="C7" s="22" t="s">
        <v>46</v>
      </c>
      <c r="D7" s="18">
        <v>1.5</v>
      </c>
    </row>
    <row r="8" spans="1:5" hidden="1" x14ac:dyDescent="0.35">
      <c r="A8" s="19">
        <v>42898</v>
      </c>
      <c r="B8" s="17" t="s">
        <v>8</v>
      </c>
      <c r="C8" s="22" t="s">
        <v>46</v>
      </c>
      <c r="D8" s="18">
        <v>1.5</v>
      </c>
    </row>
    <row r="9" spans="1:5" hidden="1" x14ac:dyDescent="0.35">
      <c r="A9" s="19">
        <v>42898</v>
      </c>
      <c r="B9" s="17" t="s">
        <v>9</v>
      </c>
      <c r="C9" s="22" t="s">
        <v>46</v>
      </c>
      <c r="D9" s="18">
        <v>1.5</v>
      </c>
    </row>
    <row r="10" spans="1:5" hidden="1" x14ac:dyDescent="0.35">
      <c r="A10" s="19">
        <v>42898</v>
      </c>
      <c r="B10" s="17" t="s">
        <v>10</v>
      </c>
      <c r="C10" s="22" t="s">
        <v>46</v>
      </c>
      <c r="D10" s="18">
        <v>1.5</v>
      </c>
    </row>
    <row r="11" spans="1:5" x14ac:dyDescent="0.35">
      <c r="A11" s="19">
        <v>42905</v>
      </c>
      <c r="B11" s="17" t="s">
        <v>2</v>
      </c>
      <c r="C11" s="18" t="s">
        <v>34</v>
      </c>
      <c r="D11" s="17">
        <v>3</v>
      </c>
    </row>
    <row r="12" spans="1:5" hidden="1" x14ac:dyDescent="0.35">
      <c r="A12" s="19">
        <v>42905</v>
      </c>
      <c r="B12" s="17" t="s">
        <v>4</v>
      </c>
      <c r="C12" s="18" t="s">
        <v>34</v>
      </c>
      <c r="D12" s="17">
        <v>3</v>
      </c>
    </row>
    <row r="13" spans="1:5" hidden="1" x14ac:dyDescent="0.35">
      <c r="A13" s="19">
        <v>42905</v>
      </c>
      <c r="B13" s="18" t="s">
        <v>25</v>
      </c>
      <c r="C13" s="18" t="s">
        <v>34</v>
      </c>
      <c r="D13" s="17">
        <v>3</v>
      </c>
    </row>
    <row r="14" spans="1:5" hidden="1" x14ac:dyDescent="0.35">
      <c r="A14" s="19">
        <v>42905</v>
      </c>
      <c r="B14" s="17" t="s">
        <v>6</v>
      </c>
      <c r="C14" s="18" t="s">
        <v>34</v>
      </c>
      <c r="D14" s="17">
        <v>3</v>
      </c>
    </row>
    <row r="15" spans="1:5" hidden="1" x14ac:dyDescent="0.35">
      <c r="A15" s="19">
        <v>42905</v>
      </c>
      <c r="B15" s="17" t="s">
        <v>8</v>
      </c>
      <c r="C15" s="18" t="s">
        <v>34</v>
      </c>
      <c r="D15" s="17">
        <v>3</v>
      </c>
    </row>
    <row r="16" spans="1:5" hidden="1" x14ac:dyDescent="0.35">
      <c r="A16" s="19">
        <v>42905</v>
      </c>
      <c r="B16" s="17" t="s">
        <v>9</v>
      </c>
      <c r="C16" s="18" t="s">
        <v>34</v>
      </c>
      <c r="D16" s="17">
        <v>3</v>
      </c>
    </row>
    <row r="17" spans="1:4" hidden="1" x14ac:dyDescent="0.35">
      <c r="A17" s="19">
        <v>42905</v>
      </c>
      <c r="B17" s="17" t="s">
        <v>10</v>
      </c>
      <c r="C17" s="18" t="s">
        <v>34</v>
      </c>
      <c r="D17" s="17">
        <v>3</v>
      </c>
    </row>
    <row r="18" spans="1:4" x14ac:dyDescent="0.35">
      <c r="A18" s="19">
        <v>42905</v>
      </c>
      <c r="B18" s="18" t="s">
        <v>2</v>
      </c>
      <c r="C18" s="18" t="s">
        <v>71</v>
      </c>
      <c r="D18" s="18">
        <v>2.5</v>
      </c>
    </row>
    <row r="19" spans="1:4" hidden="1" x14ac:dyDescent="0.35">
      <c r="A19" s="19">
        <v>42905</v>
      </c>
      <c r="B19" s="18" t="s">
        <v>3</v>
      </c>
      <c r="C19" s="18" t="s">
        <v>71</v>
      </c>
      <c r="D19" s="18">
        <v>2.5</v>
      </c>
    </row>
    <row r="20" spans="1:4" hidden="1" x14ac:dyDescent="0.35">
      <c r="A20" s="19">
        <v>42905</v>
      </c>
      <c r="B20" s="18" t="s">
        <v>10</v>
      </c>
      <c r="C20" s="18" t="s">
        <v>42</v>
      </c>
      <c r="D20" s="18">
        <v>2</v>
      </c>
    </row>
    <row r="21" spans="1:4" hidden="1" x14ac:dyDescent="0.35">
      <c r="A21" s="19">
        <v>42905</v>
      </c>
      <c r="B21" s="18" t="s">
        <v>8</v>
      </c>
      <c r="C21" s="18" t="s">
        <v>30</v>
      </c>
      <c r="D21" s="18">
        <v>1</v>
      </c>
    </row>
    <row r="22" spans="1:4" hidden="1" x14ac:dyDescent="0.35">
      <c r="A22" s="19">
        <v>42905</v>
      </c>
      <c r="B22" s="18" t="s">
        <v>6</v>
      </c>
      <c r="C22" s="18" t="s">
        <v>38</v>
      </c>
      <c r="D22" s="18">
        <v>1</v>
      </c>
    </row>
    <row r="23" spans="1:4" hidden="1" x14ac:dyDescent="0.35">
      <c r="A23" s="19">
        <v>42905</v>
      </c>
      <c r="B23" s="18" t="s">
        <v>3</v>
      </c>
      <c r="C23" s="18" t="s">
        <v>36</v>
      </c>
      <c r="D23" s="18">
        <v>1</v>
      </c>
    </row>
    <row r="24" spans="1:4" x14ac:dyDescent="0.35">
      <c r="A24" s="19">
        <v>42905</v>
      </c>
      <c r="B24" s="18" t="s">
        <v>2</v>
      </c>
      <c r="C24" s="18" t="s">
        <v>33</v>
      </c>
      <c r="D24" s="18">
        <v>1</v>
      </c>
    </row>
    <row r="25" spans="1:4" hidden="1" x14ac:dyDescent="0.35">
      <c r="A25" s="19">
        <v>42905</v>
      </c>
      <c r="B25" s="17" t="s">
        <v>3</v>
      </c>
      <c r="C25" s="18" t="s">
        <v>34</v>
      </c>
      <c r="D25" s="17">
        <v>3</v>
      </c>
    </row>
    <row r="26" spans="1:4" x14ac:dyDescent="0.35">
      <c r="A26" s="19">
        <v>42905</v>
      </c>
      <c r="B26" s="18" t="s">
        <v>2</v>
      </c>
      <c r="C26" s="1" t="s">
        <v>62</v>
      </c>
      <c r="D26" s="1">
        <v>2</v>
      </c>
    </row>
    <row r="27" spans="1:4" hidden="1" x14ac:dyDescent="0.35">
      <c r="A27" s="19">
        <v>42905</v>
      </c>
      <c r="B27" s="17" t="s">
        <v>3</v>
      </c>
      <c r="C27" s="18" t="s">
        <v>62</v>
      </c>
      <c r="D27" s="18">
        <v>2</v>
      </c>
    </row>
    <row r="28" spans="1:4" hidden="1" x14ac:dyDescent="0.35">
      <c r="A28" s="19">
        <v>42912</v>
      </c>
      <c r="B28" s="18" t="s">
        <v>10</v>
      </c>
      <c r="C28" s="18" t="s">
        <v>44</v>
      </c>
      <c r="D28" s="18">
        <v>1.5</v>
      </c>
    </row>
    <row r="29" spans="1:4" hidden="1" x14ac:dyDescent="0.35">
      <c r="A29" s="19">
        <v>42912</v>
      </c>
      <c r="B29" s="18" t="s">
        <v>25</v>
      </c>
      <c r="C29" s="18" t="s">
        <v>28</v>
      </c>
      <c r="D29" s="18">
        <v>1</v>
      </c>
    </row>
    <row r="30" spans="1:4" hidden="1" x14ac:dyDescent="0.35">
      <c r="A30" s="19">
        <v>42912</v>
      </c>
      <c r="B30" s="18" t="s">
        <v>4</v>
      </c>
      <c r="C30" s="18" t="s">
        <v>28</v>
      </c>
      <c r="D30" s="18">
        <v>1</v>
      </c>
    </row>
    <row r="31" spans="1:4" hidden="1" x14ac:dyDescent="0.35">
      <c r="A31" s="19">
        <v>42912</v>
      </c>
      <c r="B31" s="18" t="s">
        <v>6</v>
      </c>
      <c r="C31" s="18" t="s">
        <v>40</v>
      </c>
      <c r="D31" s="18">
        <v>1</v>
      </c>
    </row>
    <row r="32" spans="1:4" hidden="1" x14ac:dyDescent="0.35">
      <c r="A32" s="19">
        <v>42912</v>
      </c>
      <c r="B32" s="18" t="s">
        <v>6</v>
      </c>
      <c r="C32" s="18" t="s">
        <v>39</v>
      </c>
      <c r="D32" s="18">
        <v>1</v>
      </c>
    </row>
    <row r="33" spans="1:4" hidden="1" x14ac:dyDescent="0.35">
      <c r="A33" s="19">
        <v>42912</v>
      </c>
      <c r="B33" s="18" t="s">
        <v>9</v>
      </c>
      <c r="C33" s="18" t="s">
        <v>26</v>
      </c>
      <c r="D33" s="18">
        <v>2.5</v>
      </c>
    </row>
    <row r="34" spans="1:4" hidden="1" x14ac:dyDescent="0.35">
      <c r="A34" s="19">
        <v>42912</v>
      </c>
      <c r="B34" s="18" t="s">
        <v>7</v>
      </c>
      <c r="C34" s="18" t="s">
        <v>26</v>
      </c>
      <c r="D34" s="18">
        <v>1.5</v>
      </c>
    </row>
    <row r="35" spans="1:4" hidden="1" x14ac:dyDescent="0.35">
      <c r="A35" s="19">
        <v>42912</v>
      </c>
      <c r="B35" s="18" t="s">
        <v>8</v>
      </c>
      <c r="C35" s="18" t="s">
        <v>31</v>
      </c>
      <c r="D35" s="18">
        <v>1</v>
      </c>
    </row>
    <row r="36" spans="1:4" hidden="1" x14ac:dyDescent="0.35">
      <c r="A36" s="19">
        <v>42912</v>
      </c>
      <c r="B36" s="18" t="s">
        <v>9</v>
      </c>
      <c r="C36" s="18" t="s">
        <v>27</v>
      </c>
      <c r="D36" s="18">
        <v>1.5</v>
      </c>
    </row>
    <row r="37" spans="1:4" hidden="1" x14ac:dyDescent="0.35">
      <c r="A37" s="19">
        <v>42912</v>
      </c>
      <c r="B37" s="18" t="s">
        <v>8</v>
      </c>
      <c r="C37" s="18" t="s">
        <v>31</v>
      </c>
      <c r="D37" s="18">
        <v>2</v>
      </c>
    </row>
    <row r="38" spans="1:4" x14ac:dyDescent="0.35">
      <c r="A38" s="19">
        <v>42912</v>
      </c>
      <c r="B38" s="18" t="s">
        <v>2</v>
      </c>
      <c r="C38" s="18" t="s">
        <v>50</v>
      </c>
      <c r="D38" s="18">
        <v>1</v>
      </c>
    </row>
    <row r="39" spans="1:4" hidden="1" x14ac:dyDescent="0.35">
      <c r="A39" s="19">
        <v>42912</v>
      </c>
      <c r="B39" s="18" t="s">
        <v>3</v>
      </c>
      <c r="C39" s="18" t="s">
        <v>50</v>
      </c>
      <c r="D39" s="18">
        <v>1</v>
      </c>
    </row>
    <row r="40" spans="1:4" x14ac:dyDescent="0.35">
      <c r="A40" s="19">
        <v>42912</v>
      </c>
      <c r="B40" s="18" t="s">
        <v>2</v>
      </c>
      <c r="C40" s="18" t="s">
        <v>64</v>
      </c>
      <c r="D40" s="18">
        <v>2</v>
      </c>
    </row>
    <row r="41" spans="1:4" hidden="1" x14ac:dyDescent="0.35">
      <c r="A41" s="19">
        <v>42912</v>
      </c>
      <c r="B41" s="18" t="s">
        <v>3</v>
      </c>
      <c r="C41" s="18" t="s">
        <v>35</v>
      </c>
      <c r="D41" s="18">
        <v>2</v>
      </c>
    </row>
    <row r="42" spans="1:4" hidden="1" x14ac:dyDescent="0.35">
      <c r="A42" s="19">
        <v>42912</v>
      </c>
      <c r="B42" s="18" t="s">
        <v>3</v>
      </c>
      <c r="C42" s="18" t="s">
        <v>63</v>
      </c>
      <c r="D42" s="18">
        <v>3.5</v>
      </c>
    </row>
    <row r="43" spans="1:4" x14ac:dyDescent="0.35">
      <c r="A43" s="19">
        <v>42912</v>
      </c>
      <c r="B43" s="18" t="s">
        <v>2</v>
      </c>
      <c r="C43" s="18" t="s">
        <v>63</v>
      </c>
      <c r="D43" s="18">
        <v>3.5</v>
      </c>
    </row>
    <row r="44" spans="1:4" hidden="1" x14ac:dyDescent="0.35">
      <c r="A44" s="19">
        <v>42912</v>
      </c>
      <c r="B44" s="18" t="s">
        <v>10</v>
      </c>
      <c r="C44" s="18" t="s">
        <v>43</v>
      </c>
      <c r="D44" s="18">
        <v>2.5</v>
      </c>
    </row>
    <row r="45" spans="1:4" hidden="1" x14ac:dyDescent="0.35">
      <c r="A45" s="19">
        <v>42912</v>
      </c>
      <c r="B45" s="18" t="s">
        <v>6</v>
      </c>
      <c r="C45" s="22" t="s">
        <v>53</v>
      </c>
      <c r="D45" s="18">
        <v>1.5</v>
      </c>
    </row>
    <row r="46" spans="1:4" hidden="1" x14ac:dyDescent="0.35">
      <c r="A46" s="19">
        <v>42912</v>
      </c>
      <c r="B46" s="18" t="s">
        <v>9</v>
      </c>
      <c r="C46" s="22" t="s">
        <v>53</v>
      </c>
      <c r="D46" s="18">
        <v>1.5</v>
      </c>
    </row>
    <row r="47" spans="1:4" hidden="1" x14ac:dyDescent="0.35">
      <c r="A47" s="19">
        <v>42912</v>
      </c>
      <c r="B47" s="18" t="s">
        <v>7</v>
      </c>
      <c r="C47" s="22" t="s">
        <v>53</v>
      </c>
      <c r="D47" s="18">
        <v>1.5</v>
      </c>
    </row>
    <row r="48" spans="1:4" hidden="1" x14ac:dyDescent="0.35">
      <c r="A48" s="19">
        <v>42912</v>
      </c>
      <c r="B48" s="18" t="s">
        <v>25</v>
      </c>
      <c r="C48" s="22" t="s">
        <v>53</v>
      </c>
      <c r="D48" s="18">
        <v>1.5</v>
      </c>
    </row>
    <row r="49" spans="1:4" hidden="1" x14ac:dyDescent="0.35">
      <c r="A49" s="19">
        <v>42912</v>
      </c>
      <c r="B49" s="18" t="s">
        <v>4</v>
      </c>
      <c r="C49" s="22" t="s">
        <v>53</v>
      </c>
      <c r="D49" s="18">
        <v>1.5</v>
      </c>
    </row>
    <row r="50" spans="1:4" hidden="1" x14ac:dyDescent="0.35">
      <c r="A50" s="19">
        <v>42912</v>
      </c>
      <c r="B50" s="18" t="s">
        <v>8</v>
      </c>
      <c r="C50" s="22" t="s">
        <v>53</v>
      </c>
      <c r="D50" s="18">
        <v>1.5</v>
      </c>
    </row>
    <row r="51" spans="1:4" hidden="1" x14ac:dyDescent="0.35">
      <c r="A51" s="19">
        <v>42912</v>
      </c>
      <c r="B51" s="18" t="s">
        <v>10</v>
      </c>
      <c r="C51" s="22" t="s">
        <v>53</v>
      </c>
      <c r="D51" s="18">
        <v>1.5</v>
      </c>
    </row>
    <row r="52" spans="1:4" hidden="1" x14ac:dyDescent="0.35">
      <c r="A52" s="19">
        <v>42912</v>
      </c>
      <c r="B52" s="18" t="s">
        <v>3</v>
      </c>
      <c r="C52" s="22" t="s">
        <v>53</v>
      </c>
      <c r="D52" s="18">
        <v>1.5</v>
      </c>
    </row>
    <row r="53" spans="1:4" x14ac:dyDescent="0.35">
      <c r="A53" s="19">
        <v>42912</v>
      </c>
      <c r="B53" s="18" t="s">
        <v>2</v>
      </c>
      <c r="C53" s="22" t="s">
        <v>53</v>
      </c>
      <c r="D53" s="18">
        <v>1.5</v>
      </c>
    </row>
    <row r="54" spans="1:4" hidden="1" x14ac:dyDescent="0.35">
      <c r="A54" s="19">
        <v>42912</v>
      </c>
      <c r="B54" s="18" t="s">
        <v>3</v>
      </c>
      <c r="C54" s="22" t="s">
        <v>55</v>
      </c>
      <c r="D54" s="18">
        <v>0.5</v>
      </c>
    </row>
    <row r="55" spans="1:4" x14ac:dyDescent="0.35">
      <c r="A55" s="19">
        <v>42912</v>
      </c>
      <c r="B55" s="18" t="s">
        <v>2</v>
      </c>
      <c r="C55" s="22" t="s">
        <v>55</v>
      </c>
      <c r="D55" s="18">
        <v>0.5</v>
      </c>
    </row>
    <row r="56" spans="1:4" hidden="1" x14ac:dyDescent="0.35">
      <c r="A56" s="19">
        <v>42919</v>
      </c>
      <c r="B56" s="18" t="s">
        <v>3</v>
      </c>
      <c r="C56" s="18" t="s">
        <v>35</v>
      </c>
      <c r="D56" s="18">
        <v>1</v>
      </c>
    </row>
    <row r="57" spans="1:4" x14ac:dyDescent="0.35">
      <c r="A57" s="19">
        <v>42919</v>
      </c>
      <c r="B57" s="18" t="s">
        <v>2</v>
      </c>
      <c r="C57" s="18" t="s">
        <v>35</v>
      </c>
      <c r="D57" s="18">
        <v>1</v>
      </c>
    </row>
    <row r="58" spans="1:4" hidden="1" x14ac:dyDescent="0.35">
      <c r="A58" s="19">
        <v>42919</v>
      </c>
      <c r="B58" s="18" t="s">
        <v>6</v>
      </c>
      <c r="C58" s="18" t="s">
        <v>41</v>
      </c>
      <c r="D58" s="18">
        <v>2</v>
      </c>
    </row>
    <row r="59" spans="1:4" hidden="1" x14ac:dyDescent="0.35">
      <c r="A59" s="19">
        <v>42919</v>
      </c>
      <c r="B59" s="18" t="s">
        <v>10</v>
      </c>
      <c r="C59" s="18" t="s">
        <v>41</v>
      </c>
      <c r="D59" s="18">
        <v>2</v>
      </c>
    </row>
    <row r="60" spans="1:4" hidden="1" x14ac:dyDescent="0.35">
      <c r="A60" s="19">
        <v>42919</v>
      </c>
      <c r="B60" s="18" t="s">
        <v>9</v>
      </c>
      <c r="C60" s="18" t="s">
        <v>41</v>
      </c>
      <c r="D60" s="18">
        <v>2</v>
      </c>
    </row>
    <row r="61" spans="1:4" hidden="1" x14ac:dyDescent="0.35">
      <c r="A61" s="19">
        <v>42919</v>
      </c>
      <c r="B61" s="18" t="s">
        <v>8</v>
      </c>
      <c r="C61" s="18" t="s">
        <v>41</v>
      </c>
      <c r="D61" s="18">
        <v>2</v>
      </c>
    </row>
    <row r="62" spans="1:4" hidden="1" x14ac:dyDescent="0.35">
      <c r="A62" s="19">
        <v>42919</v>
      </c>
      <c r="B62" s="1" t="s">
        <v>7</v>
      </c>
      <c r="C62" s="18" t="s">
        <v>41</v>
      </c>
      <c r="D62" s="1">
        <v>2</v>
      </c>
    </row>
    <row r="63" spans="1:4" x14ac:dyDescent="0.35">
      <c r="A63" s="19">
        <v>42919</v>
      </c>
      <c r="B63" s="1" t="s">
        <v>2</v>
      </c>
      <c r="C63" s="18" t="s">
        <v>41</v>
      </c>
      <c r="D63" s="18">
        <v>2</v>
      </c>
    </row>
    <row r="64" spans="1:4" hidden="1" x14ac:dyDescent="0.35">
      <c r="A64" s="19">
        <v>42919</v>
      </c>
      <c r="B64" s="1" t="s">
        <v>3</v>
      </c>
      <c r="C64" s="18" t="s">
        <v>41</v>
      </c>
      <c r="D64" s="18">
        <v>2</v>
      </c>
    </row>
    <row r="65" spans="1:4" hidden="1" x14ac:dyDescent="0.35">
      <c r="A65" s="19">
        <v>42919</v>
      </c>
      <c r="B65" s="18" t="s">
        <v>25</v>
      </c>
      <c r="C65" s="18" t="s">
        <v>41</v>
      </c>
      <c r="D65" s="1">
        <v>2</v>
      </c>
    </row>
    <row r="66" spans="1:4" hidden="1" x14ac:dyDescent="0.35">
      <c r="A66" s="16">
        <v>42919</v>
      </c>
      <c r="B66" s="1" t="s">
        <v>9</v>
      </c>
      <c r="C66" s="1" t="s">
        <v>58</v>
      </c>
      <c r="D66" s="1">
        <v>1.5</v>
      </c>
    </row>
    <row r="67" spans="1:4" x14ac:dyDescent="0.35">
      <c r="A67" s="16">
        <v>42919</v>
      </c>
      <c r="B67" s="1" t="s">
        <v>2</v>
      </c>
      <c r="C67" s="1" t="s">
        <v>58</v>
      </c>
      <c r="D67" s="1">
        <v>1.5</v>
      </c>
    </row>
    <row r="68" spans="1:4" hidden="1" x14ac:dyDescent="0.35">
      <c r="A68" s="16">
        <v>42919</v>
      </c>
      <c r="B68" s="1" t="s">
        <v>3</v>
      </c>
      <c r="C68" s="1" t="s">
        <v>58</v>
      </c>
      <c r="D68" s="1">
        <v>1.5</v>
      </c>
    </row>
    <row r="69" spans="1:4" hidden="1" x14ac:dyDescent="0.35">
      <c r="A69" s="16">
        <v>42919</v>
      </c>
      <c r="B69" s="18" t="s">
        <v>25</v>
      </c>
      <c r="C69" s="1" t="s">
        <v>58</v>
      </c>
      <c r="D69" s="1">
        <v>1.5</v>
      </c>
    </row>
    <row r="70" spans="1:4" hidden="1" x14ac:dyDescent="0.35">
      <c r="A70" s="16">
        <v>42919</v>
      </c>
      <c r="B70" s="1" t="s">
        <v>10</v>
      </c>
      <c r="C70" s="1" t="s">
        <v>58</v>
      </c>
      <c r="D70" s="1">
        <v>1.5</v>
      </c>
    </row>
    <row r="71" spans="1:4" hidden="1" x14ac:dyDescent="0.35">
      <c r="A71" s="19">
        <v>42905</v>
      </c>
      <c r="B71" s="18" t="s">
        <v>4</v>
      </c>
      <c r="C71" s="18" t="s">
        <v>66</v>
      </c>
      <c r="D71" s="18">
        <v>1</v>
      </c>
    </row>
    <row r="72" spans="1:4" hidden="1" x14ac:dyDescent="0.35">
      <c r="A72" s="19">
        <v>42919</v>
      </c>
      <c r="B72" s="18" t="s">
        <v>4</v>
      </c>
      <c r="C72" s="18" t="s">
        <v>67</v>
      </c>
      <c r="D72" s="18">
        <v>2</v>
      </c>
    </row>
    <row r="73" spans="1:4" hidden="1" x14ac:dyDescent="0.35">
      <c r="A73" s="19">
        <v>42919</v>
      </c>
      <c r="B73" s="18" t="s">
        <v>4</v>
      </c>
      <c r="C73" s="18" t="s">
        <v>68</v>
      </c>
      <c r="D73" s="18">
        <v>3</v>
      </c>
    </row>
    <row r="74" spans="1:4" hidden="1" x14ac:dyDescent="0.35">
      <c r="A74" s="19">
        <v>42919</v>
      </c>
      <c r="B74" s="18" t="s">
        <v>25</v>
      </c>
      <c r="C74" s="18" t="s">
        <v>41</v>
      </c>
      <c r="D74" s="18">
        <v>2</v>
      </c>
    </row>
    <row r="75" spans="1:4" hidden="1" x14ac:dyDescent="0.35">
      <c r="A75" s="19">
        <v>42919</v>
      </c>
      <c r="B75" s="18" t="s">
        <v>25</v>
      </c>
      <c r="C75" s="18" t="s">
        <v>28</v>
      </c>
      <c r="D75" s="18">
        <v>1.5</v>
      </c>
    </row>
    <row r="76" spans="1:4" hidden="1" x14ac:dyDescent="0.35">
      <c r="A76" s="19">
        <v>42905</v>
      </c>
      <c r="B76" s="18" t="s">
        <v>25</v>
      </c>
      <c r="C76" s="18" t="s">
        <v>66</v>
      </c>
      <c r="D76" s="18">
        <v>1</v>
      </c>
    </row>
    <row r="77" spans="1:4" hidden="1" x14ac:dyDescent="0.35">
      <c r="A77" s="19">
        <v>42919</v>
      </c>
      <c r="B77" s="18" t="s">
        <v>25</v>
      </c>
      <c r="C77" s="18" t="s">
        <v>68</v>
      </c>
      <c r="D77" s="18">
        <v>1.5</v>
      </c>
    </row>
    <row r="78" spans="1:4" hidden="1" x14ac:dyDescent="0.35">
      <c r="A78" s="25">
        <v>42919</v>
      </c>
      <c r="B78" s="18" t="s">
        <v>8</v>
      </c>
      <c r="C78" s="18" t="s">
        <v>69</v>
      </c>
      <c r="D78" s="18">
        <v>2</v>
      </c>
    </row>
    <row r="79" spans="1:4" hidden="1" x14ac:dyDescent="0.35">
      <c r="A79" s="19">
        <v>42919</v>
      </c>
      <c r="B79" s="18" t="s">
        <v>10</v>
      </c>
      <c r="C79" s="18" t="s">
        <v>70</v>
      </c>
      <c r="D79" s="18">
        <v>3</v>
      </c>
    </row>
    <row r="80" spans="1:4" x14ac:dyDescent="0.35">
      <c r="A80" s="26">
        <v>42919</v>
      </c>
      <c r="B80" s="27" t="s">
        <v>2</v>
      </c>
      <c r="C80" s="27" t="s">
        <v>79</v>
      </c>
      <c r="D80" s="28">
        <v>1</v>
      </c>
    </row>
    <row r="81" spans="1:4" x14ac:dyDescent="0.35">
      <c r="A81" s="16">
        <v>42919</v>
      </c>
      <c r="B81" s="1" t="s">
        <v>2</v>
      </c>
      <c r="C81" s="1" t="s">
        <v>73</v>
      </c>
      <c r="D81" s="1">
        <v>4</v>
      </c>
    </row>
    <row r="82" spans="1:4" x14ac:dyDescent="0.35">
      <c r="A82" s="16">
        <v>42919</v>
      </c>
      <c r="B82" s="1" t="s">
        <v>2</v>
      </c>
      <c r="C82" s="1" t="s">
        <v>86</v>
      </c>
      <c r="D82" s="1">
        <v>4</v>
      </c>
    </row>
    <row r="83" spans="1:4" x14ac:dyDescent="0.35">
      <c r="A83" s="16">
        <v>42919</v>
      </c>
      <c r="B83" s="1" t="s">
        <v>2</v>
      </c>
      <c r="C83" s="1" t="s">
        <v>85</v>
      </c>
      <c r="D83" s="1">
        <v>2</v>
      </c>
    </row>
    <row r="84" spans="1:4" x14ac:dyDescent="0.35">
      <c r="A84" s="16">
        <v>42926</v>
      </c>
      <c r="B84" s="1" t="s">
        <v>2</v>
      </c>
      <c r="C84" s="1" t="s">
        <v>74</v>
      </c>
      <c r="D84" s="1">
        <v>3</v>
      </c>
    </row>
    <row r="85" spans="1:4" x14ac:dyDescent="0.35">
      <c r="A85" s="16">
        <v>42926</v>
      </c>
      <c r="B85" s="1" t="s">
        <v>2</v>
      </c>
      <c r="C85" s="1" t="s">
        <v>75</v>
      </c>
      <c r="D85" s="1">
        <v>1</v>
      </c>
    </row>
    <row r="86" spans="1:4" x14ac:dyDescent="0.35">
      <c r="A86" s="16">
        <v>42933</v>
      </c>
      <c r="B86" s="1" t="s">
        <v>2</v>
      </c>
      <c r="C86" s="1" t="s">
        <v>76</v>
      </c>
      <c r="D86" s="1">
        <v>3</v>
      </c>
    </row>
    <row r="87" spans="1:4" x14ac:dyDescent="0.35">
      <c r="A87" s="16">
        <v>42933</v>
      </c>
      <c r="B87" s="1" t="s">
        <v>2</v>
      </c>
      <c r="C87" s="1" t="s">
        <v>77</v>
      </c>
      <c r="D87" s="1">
        <v>2</v>
      </c>
    </row>
    <row r="88" spans="1:4" x14ac:dyDescent="0.35">
      <c r="A88" s="16">
        <v>42933</v>
      </c>
      <c r="B88" s="1" t="s">
        <v>2</v>
      </c>
      <c r="C88" s="1" t="s">
        <v>78</v>
      </c>
      <c r="D88" s="1">
        <v>2</v>
      </c>
    </row>
    <row r="89" spans="1:4" x14ac:dyDescent="0.35">
      <c r="A89" s="16">
        <v>42933</v>
      </c>
      <c r="B89" s="1" t="s">
        <v>2</v>
      </c>
      <c r="C89" s="1" t="s">
        <v>73</v>
      </c>
      <c r="D89" s="1">
        <v>8</v>
      </c>
    </row>
    <row r="90" spans="1:4" x14ac:dyDescent="0.35">
      <c r="A90" s="16">
        <v>42933</v>
      </c>
      <c r="B90" s="1" t="s">
        <v>2</v>
      </c>
      <c r="C90" s="1" t="s">
        <v>81</v>
      </c>
      <c r="D90" s="1">
        <v>3</v>
      </c>
    </row>
    <row r="91" spans="1:4" x14ac:dyDescent="0.35">
      <c r="A91" s="16">
        <v>42926</v>
      </c>
      <c r="B91" s="1" t="s">
        <v>2</v>
      </c>
      <c r="C91" s="1" t="s">
        <v>80</v>
      </c>
      <c r="D91" s="1">
        <v>2</v>
      </c>
    </row>
    <row r="92" spans="1:4" hidden="1" x14ac:dyDescent="0.35">
      <c r="C92" s="1" t="s">
        <v>82</v>
      </c>
      <c r="D92" s="1">
        <v>2</v>
      </c>
    </row>
    <row r="93" spans="1:4" hidden="1" x14ac:dyDescent="0.35">
      <c r="C93" s="1" t="s">
        <v>84</v>
      </c>
      <c r="D93" s="1">
        <v>4</v>
      </c>
    </row>
    <row r="94" spans="1:4" hidden="1" x14ac:dyDescent="0.35">
      <c r="C94" s="1" t="s">
        <v>83</v>
      </c>
      <c r="D94" s="1">
        <v>8</v>
      </c>
    </row>
    <row r="95" spans="1:4" x14ac:dyDescent="0.35">
      <c r="A95" s="16">
        <v>42933</v>
      </c>
      <c r="B95" s="1" t="s">
        <v>2</v>
      </c>
      <c r="C95" s="1" t="s">
        <v>83</v>
      </c>
      <c r="D95" s="1">
        <v>6</v>
      </c>
    </row>
    <row r="96" spans="1:4" x14ac:dyDescent="0.35">
      <c r="A96" s="16">
        <v>42940</v>
      </c>
      <c r="B96" s="1" t="s">
        <v>2</v>
      </c>
      <c r="C96" s="1" t="s">
        <v>87</v>
      </c>
      <c r="D96" s="1">
        <v>2</v>
      </c>
    </row>
    <row r="97" spans="1:5" x14ac:dyDescent="0.35">
      <c r="A97" s="16">
        <v>42940</v>
      </c>
      <c r="C97" s="1" t="s">
        <v>88</v>
      </c>
      <c r="D97" s="1">
        <v>1</v>
      </c>
    </row>
    <row r="98" spans="1:5" x14ac:dyDescent="0.35">
      <c r="A98" s="16">
        <v>42940</v>
      </c>
      <c r="C98" s="1" t="s">
        <v>89</v>
      </c>
      <c r="D98" s="1">
        <v>1</v>
      </c>
    </row>
    <row r="99" spans="1:5" x14ac:dyDescent="0.35">
      <c r="A99" s="16">
        <v>42940</v>
      </c>
      <c r="C99" s="1" t="s">
        <v>90</v>
      </c>
      <c r="D99" s="1">
        <v>2</v>
      </c>
    </row>
    <row r="100" spans="1:5" x14ac:dyDescent="0.35">
      <c r="A100" s="16">
        <v>42940</v>
      </c>
      <c r="C100" s="1" t="s">
        <v>91</v>
      </c>
      <c r="D100" s="1">
        <v>2</v>
      </c>
    </row>
    <row r="101" spans="1:5" x14ac:dyDescent="0.35">
      <c r="A101" s="16">
        <v>42940</v>
      </c>
      <c r="C101" s="1" t="s">
        <v>84</v>
      </c>
      <c r="D101" s="1">
        <v>4</v>
      </c>
    </row>
    <row r="102" spans="1:5" x14ac:dyDescent="0.35">
      <c r="A102" s="16">
        <v>42940</v>
      </c>
      <c r="C102" s="1" t="s">
        <v>92</v>
      </c>
      <c r="D102" s="1">
        <v>0.5</v>
      </c>
    </row>
    <row r="103" spans="1:5" x14ac:dyDescent="0.35">
      <c r="A103" s="16">
        <v>42940</v>
      </c>
      <c r="C103" s="1" t="s">
        <v>35</v>
      </c>
      <c r="D103" s="1">
        <v>3</v>
      </c>
    </row>
    <row r="104" spans="1:5" x14ac:dyDescent="0.35">
      <c r="A104" s="16">
        <v>42940</v>
      </c>
      <c r="C104" s="1" t="s">
        <v>93</v>
      </c>
      <c r="D104" s="1">
        <v>5</v>
      </c>
    </row>
    <row r="105" spans="1:5" x14ac:dyDescent="0.35">
      <c r="A105" s="16">
        <v>42940</v>
      </c>
      <c r="C105" s="1" t="s">
        <v>94</v>
      </c>
      <c r="D105" s="1">
        <v>3.5</v>
      </c>
      <c r="E105" s="29">
        <v>42944</v>
      </c>
    </row>
    <row r="106" spans="1:5" x14ac:dyDescent="0.35">
      <c r="A106" s="16">
        <v>42947</v>
      </c>
      <c r="C106" s="1" t="s">
        <v>95</v>
      </c>
      <c r="D106" s="1">
        <v>1</v>
      </c>
      <c r="E106" s="29">
        <v>42947</v>
      </c>
    </row>
    <row r="107" spans="1:5" x14ac:dyDescent="0.35">
      <c r="C107" s="1" t="s">
        <v>96</v>
      </c>
      <c r="D107" s="1">
        <v>2</v>
      </c>
      <c r="E107" s="29">
        <v>42947</v>
      </c>
    </row>
    <row r="108" spans="1:5" x14ac:dyDescent="0.35">
      <c r="C108" s="1" t="s">
        <v>99</v>
      </c>
      <c r="D108" s="1">
        <v>1.5</v>
      </c>
      <c r="E108" s="29">
        <v>42948</v>
      </c>
    </row>
    <row r="109" spans="1:5" x14ac:dyDescent="0.35">
      <c r="C109" s="1" t="s">
        <v>98</v>
      </c>
      <c r="D109" s="1">
        <v>2</v>
      </c>
    </row>
    <row r="110" spans="1:5" x14ac:dyDescent="0.35">
      <c r="C110" s="1" t="s">
        <v>97</v>
      </c>
      <c r="D110" s="1">
        <v>1</v>
      </c>
      <c r="E110" s="29">
        <v>42949</v>
      </c>
    </row>
    <row r="111" spans="1:5" x14ac:dyDescent="0.35">
      <c r="C111" s="1" t="s">
        <v>100</v>
      </c>
      <c r="D111" s="1">
        <v>1</v>
      </c>
      <c r="E111" s="29">
        <v>42949</v>
      </c>
    </row>
    <row r="112" spans="1:5" x14ac:dyDescent="0.35">
      <c r="C112" s="1" t="s">
        <v>101</v>
      </c>
      <c r="D112" s="1">
        <v>2.5</v>
      </c>
      <c r="E112" s="29">
        <v>42950</v>
      </c>
    </row>
    <row r="113" spans="3:5" x14ac:dyDescent="0.35">
      <c r="C113" s="1" t="s">
        <v>102</v>
      </c>
      <c r="D113" s="1">
        <v>2</v>
      </c>
      <c r="E113" s="29">
        <v>42949</v>
      </c>
    </row>
  </sheetData>
  <autoFilter ref="A1:E95">
    <filterColumn colId="1">
      <filters>
        <filter val="Varnika Yertha"/>
      </filters>
    </filterColumn>
  </autoFilter>
  <sortState ref="A2:E63">
    <sortCondition ref="A2:A63"/>
    <sortCondition ref="C2:C63"/>
    <sortCondition descending="1" ref="D2:D63"/>
  </sortState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'Backend list'!$B$3:$B$11</xm:f>
          </x14:formula1>
          <xm:sqref>C66:C70 B2:B1983</xm:sqref>
        </x14:dataValidation>
        <x14:dataValidation type="list" allowBlank="1" showInputMessage="1" showErrorMessage="1">
          <x14:formula1>
            <xm:f>'Backend list'!$A$3:$A$13</xm:f>
          </x14:formula1>
          <xm:sqref>A1:A1048576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Q31"/>
  <sheetViews>
    <sheetView showGridLines="0" workbookViewId="0">
      <selection activeCell="B11" sqref="B11"/>
    </sheetView>
  </sheetViews>
  <sheetFormatPr defaultRowHeight="14.5" x14ac:dyDescent="0.35"/>
  <cols>
    <col min="1" max="1" width="2.36328125" customWidth="1"/>
    <col min="2" max="3" width="9.1796875" customWidth="1"/>
    <col min="4" max="4" width="23.453125" customWidth="1"/>
    <col min="5" max="5" width="42.453125" customWidth="1"/>
    <col min="6" max="6" width="16.1796875" customWidth="1"/>
    <col min="14" max="16" width="8.90625" customWidth="1"/>
  </cols>
  <sheetData>
    <row r="2" spans="2:17" x14ac:dyDescent="0.35">
      <c r="B2" s="20" t="s">
        <v>13</v>
      </c>
      <c r="C2" s="20" t="s">
        <v>15</v>
      </c>
      <c r="D2" s="20" t="s">
        <v>21</v>
      </c>
      <c r="E2" s="20" t="s">
        <v>20</v>
      </c>
      <c r="F2" s="21" t="s">
        <v>45</v>
      </c>
      <c r="G2" t="s">
        <v>4</v>
      </c>
      <c r="H2" t="s">
        <v>8</v>
      </c>
      <c r="I2" t="s">
        <v>6</v>
      </c>
      <c r="J2" t="s">
        <v>9</v>
      </c>
      <c r="K2" t="s">
        <v>3</v>
      </c>
      <c r="L2" t="s">
        <v>7</v>
      </c>
      <c r="M2" t="s">
        <v>2</v>
      </c>
      <c r="N2" t="s">
        <v>10</v>
      </c>
      <c r="O2" t="s">
        <v>25</v>
      </c>
      <c r="P2" t="s">
        <v>65</v>
      </c>
      <c r="Q2" t="s">
        <v>60</v>
      </c>
    </row>
    <row r="3" spans="2:17" x14ac:dyDescent="0.35">
      <c r="B3" s="23">
        <v>42902</v>
      </c>
      <c r="C3" s="23">
        <v>42898</v>
      </c>
      <c r="D3" s="22" t="s">
        <v>46</v>
      </c>
      <c r="E3" s="22" t="s">
        <v>47</v>
      </c>
      <c r="F3" s="22">
        <v>1.5</v>
      </c>
      <c r="G3">
        <v>1</v>
      </c>
      <c r="H3">
        <v>1</v>
      </c>
      <c r="I3">
        <v>1</v>
      </c>
      <c r="J3">
        <v>1</v>
      </c>
      <c r="K3">
        <v>1</v>
      </c>
      <c r="L3">
        <v>1</v>
      </c>
      <c r="M3">
        <v>1</v>
      </c>
      <c r="N3">
        <v>1</v>
      </c>
      <c r="O3">
        <v>1</v>
      </c>
      <c r="P3">
        <f>SUM(G3:O3)</f>
        <v>9</v>
      </c>
      <c r="Q3">
        <f t="shared" ref="Q3:Q10" si="0">F3*SUM(G3:O3)</f>
        <v>13.5</v>
      </c>
    </row>
    <row r="4" spans="2:17" x14ac:dyDescent="0.35">
      <c r="B4" s="23">
        <v>42908</v>
      </c>
      <c r="C4" s="23">
        <v>42905</v>
      </c>
      <c r="D4" s="22" t="s">
        <v>48</v>
      </c>
      <c r="E4" s="22" t="s">
        <v>49</v>
      </c>
      <c r="F4" s="22">
        <v>3.5</v>
      </c>
      <c r="G4">
        <v>1</v>
      </c>
      <c r="H4">
        <v>1</v>
      </c>
      <c r="I4">
        <v>1</v>
      </c>
      <c r="J4">
        <v>1</v>
      </c>
      <c r="K4">
        <v>1</v>
      </c>
      <c r="L4">
        <v>0</v>
      </c>
      <c r="M4">
        <v>1</v>
      </c>
      <c r="N4">
        <v>1</v>
      </c>
      <c r="O4">
        <v>1</v>
      </c>
      <c r="P4">
        <f t="shared" ref="P4:P10" si="1">SUM(G4:O4)</f>
        <v>8</v>
      </c>
      <c r="Q4">
        <f t="shared" si="0"/>
        <v>28</v>
      </c>
    </row>
    <row r="5" spans="2:17" x14ac:dyDescent="0.35">
      <c r="B5" s="23">
        <v>42912</v>
      </c>
      <c r="C5" s="23">
        <v>42912</v>
      </c>
      <c r="D5" s="22" t="s">
        <v>50</v>
      </c>
      <c r="E5" s="22" t="s">
        <v>51</v>
      </c>
      <c r="F5" s="22">
        <v>1</v>
      </c>
      <c r="K5">
        <v>1</v>
      </c>
      <c r="N5">
        <v>1</v>
      </c>
      <c r="O5">
        <v>1</v>
      </c>
      <c r="P5">
        <f t="shared" si="1"/>
        <v>3</v>
      </c>
      <c r="Q5">
        <f t="shared" si="0"/>
        <v>3</v>
      </c>
    </row>
    <row r="6" spans="2:17" x14ac:dyDescent="0.35">
      <c r="B6" s="23">
        <v>42913</v>
      </c>
      <c r="C6" s="23">
        <v>42912</v>
      </c>
      <c r="D6" s="22" t="s">
        <v>56</v>
      </c>
      <c r="E6" s="22" t="s">
        <v>52</v>
      </c>
      <c r="F6" s="22">
        <v>1</v>
      </c>
      <c r="G6">
        <v>1</v>
      </c>
      <c r="H6">
        <v>1</v>
      </c>
      <c r="I6">
        <v>1</v>
      </c>
      <c r="J6">
        <v>1</v>
      </c>
      <c r="K6">
        <v>1</v>
      </c>
      <c r="L6">
        <v>1</v>
      </c>
      <c r="M6">
        <v>1</v>
      </c>
      <c r="N6">
        <v>1</v>
      </c>
      <c r="O6">
        <v>0</v>
      </c>
      <c r="P6">
        <f t="shared" si="1"/>
        <v>8</v>
      </c>
      <c r="Q6">
        <f t="shared" si="0"/>
        <v>8</v>
      </c>
    </row>
    <row r="7" spans="2:17" x14ac:dyDescent="0.35">
      <c r="B7" s="23">
        <v>42915</v>
      </c>
      <c r="C7" s="23">
        <v>42912</v>
      </c>
      <c r="D7" s="22" t="s">
        <v>53</v>
      </c>
      <c r="E7" s="22" t="s">
        <v>54</v>
      </c>
      <c r="F7" s="22">
        <v>1.5</v>
      </c>
      <c r="G7">
        <v>1</v>
      </c>
      <c r="H7">
        <v>1</v>
      </c>
      <c r="I7">
        <v>1</v>
      </c>
      <c r="J7">
        <v>1</v>
      </c>
      <c r="K7">
        <v>1</v>
      </c>
      <c r="L7">
        <v>1</v>
      </c>
      <c r="M7">
        <v>1</v>
      </c>
      <c r="N7">
        <v>1</v>
      </c>
      <c r="O7">
        <v>1</v>
      </c>
      <c r="P7">
        <f t="shared" si="1"/>
        <v>9</v>
      </c>
      <c r="Q7">
        <f t="shared" si="0"/>
        <v>13.5</v>
      </c>
    </row>
    <row r="8" spans="2:17" x14ac:dyDescent="0.35">
      <c r="B8" s="23">
        <v>42915</v>
      </c>
      <c r="C8" s="23">
        <v>42912</v>
      </c>
      <c r="D8" s="18" t="s">
        <v>41</v>
      </c>
      <c r="E8" s="22" t="s">
        <v>57</v>
      </c>
      <c r="F8" s="22">
        <v>2</v>
      </c>
      <c r="H8">
        <v>1</v>
      </c>
      <c r="I8">
        <v>1</v>
      </c>
      <c r="J8">
        <v>1</v>
      </c>
      <c r="K8">
        <v>1</v>
      </c>
      <c r="L8">
        <v>1</v>
      </c>
      <c r="M8">
        <v>1</v>
      </c>
      <c r="N8">
        <v>1</v>
      </c>
      <c r="O8">
        <v>1</v>
      </c>
      <c r="P8">
        <f t="shared" si="1"/>
        <v>8</v>
      </c>
      <c r="Q8">
        <f t="shared" si="0"/>
        <v>16</v>
      </c>
    </row>
    <row r="9" spans="2:17" x14ac:dyDescent="0.35">
      <c r="B9" s="24">
        <v>42915</v>
      </c>
      <c r="C9" s="23">
        <v>42912</v>
      </c>
      <c r="D9" s="22" t="s">
        <v>55</v>
      </c>
      <c r="E9" s="22" t="s">
        <v>51</v>
      </c>
      <c r="F9" s="22">
        <v>0.5</v>
      </c>
      <c r="K9">
        <v>1</v>
      </c>
      <c r="N9">
        <v>1</v>
      </c>
      <c r="O9">
        <v>1</v>
      </c>
      <c r="P9">
        <f t="shared" si="1"/>
        <v>3</v>
      </c>
      <c r="Q9">
        <f t="shared" si="0"/>
        <v>1.5</v>
      </c>
    </row>
    <row r="10" spans="2:17" x14ac:dyDescent="0.35">
      <c r="B10" s="16">
        <v>42921</v>
      </c>
      <c r="C10" s="16">
        <v>42919</v>
      </c>
      <c r="D10" s="1" t="s">
        <v>61</v>
      </c>
      <c r="E10" s="1" t="s">
        <v>59</v>
      </c>
      <c r="F10" s="1">
        <v>1.5</v>
      </c>
      <c r="J10">
        <v>1</v>
      </c>
      <c r="K10">
        <v>1</v>
      </c>
      <c r="M10">
        <v>1</v>
      </c>
      <c r="N10">
        <v>1</v>
      </c>
      <c r="O10">
        <v>1</v>
      </c>
      <c r="P10">
        <f t="shared" si="1"/>
        <v>5</v>
      </c>
      <c r="Q10">
        <f t="shared" si="0"/>
        <v>7.5</v>
      </c>
    </row>
    <row r="11" spans="2:17" x14ac:dyDescent="0.35">
      <c r="B11" s="1"/>
      <c r="C11" s="1"/>
      <c r="D11" s="1"/>
      <c r="E11" s="1"/>
      <c r="F11" s="1"/>
    </row>
    <row r="12" spans="2:17" x14ac:dyDescent="0.35">
      <c r="B12" s="1"/>
      <c r="C12" s="1"/>
      <c r="D12" s="1"/>
      <c r="E12" s="1"/>
      <c r="F12" s="1"/>
    </row>
    <row r="13" spans="2:17" x14ac:dyDescent="0.35">
      <c r="B13" s="1"/>
      <c r="C13" s="1"/>
      <c r="D13" s="1"/>
      <c r="E13" s="1"/>
      <c r="F13" s="1"/>
    </row>
    <row r="14" spans="2:17" x14ac:dyDescent="0.35">
      <c r="B14" s="1"/>
      <c r="C14" s="1"/>
      <c r="D14" s="1"/>
      <c r="E14" s="1"/>
      <c r="F14" s="1"/>
    </row>
    <row r="15" spans="2:17" x14ac:dyDescent="0.35">
      <c r="B15" s="1"/>
      <c r="C15" s="1"/>
      <c r="D15" s="1"/>
      <c r="E15" s="1"/>
      <c r="F15" s="1"/>
    </row>
    <row r="16" spans="2:17" x14ac:dyDescent="0.35">
      <c r="B16" s="1"/>
      <c r="C16" s="1"/>
      <c r="D16" s="1"/>
      <c r="E16" s="1"/>
      <c r="F16" s="1"/>
    </row>
    <row r="17" spans="2:10" x14ac:dyDescent="0.35">
      <c r="B17" s="1"/>
      <c r="C17" s="1"/>
      <c r="D17" s="1"/>
      <c r="E17" s="1"/>
      <c r="F17" s="1"/>
    </row>
    <row r="18" spans="2:10" x14ac:dyDescent="0.35">
      <c r="B18" s="1"/>
      <c r="C18" s="1"/>
      <c r="D18" s="1"/>
      <c r="E18" s="1"/>
      <c r="F18" s="1"/>
    </row>
    <row r="19" spans="2:10" x14ac:dyDescent="0.35">
      <c r="B19" s="1"/>
      <c r="C19" s="1"/>
      <c r="D19" s="1"/>
      <c r="E19" s="1"/>
      <c r="F19" s="1"/>
    </row>
    <row r="20" spans="2:10" x14ac:dyDescent="0.35">
      <c r="B20" s="1"/>
      <c r="C20" s="1"/>
      <c r="D20" s="1"/>
      <c r="E20" s="1"/>
      <c r="F20" s="1"/>
    </row>
    <row r="21" spans="2:10" x14ac:dyDescent="0.35">
      <c r="B21" s="1"/>
      <c r="C21" s="1"/>
      <c r="D21" s="1"/>
      <c r="E21" s="1"/>
      <c r="F21" s="1"/>
      <c r="J21" s="14"/>
    </row>
    <row r="22" spans="2:10" x14ac:dyDescent="0.35">
      <c r="B22" s="1"/>
      <c r="C22" s="1"/>
      <c r="D22" s="1"/>
      <c r="E22" s="1"/>
      <c r="F22" s="1"/>
      <c r="J22" s="14"/>
    </row>
    <row r="23" spans="2:10" x14ac:dyDescent="0.35">
      <c r="J23" s="14"/>
    </row>
    <row r="24" spans="2:10" x14ac:dyDescent="0.35">
      <c r="C24" t="s">
        <v>72</v>
      </c>
      <c r="D24">
        <f>SUM(Q:Q)</f>
        <v>91</v>
      </c>
      <c r="J24" s="14"/>
    </row>
    <row r="25" spans="2:10" x14ac:dyDescent="0.35">
      <c r="J25" s="14"/>
    </row>
    <row r="26" spans="2:10" x14ac:dyDescent="0.35">
      <c r="J26" s="14"/>
    </row>
    <row r="27" spans="2:10" x14ac:dyDescent="0.35">
      <c r="J27" s="14"/>
    </row>
    <row r="28" spans="2:10" x14ac:dyDescent="0.35">
      <c r="J28" s="14"/>
    </row>
    <row r="29" spans="2:10" x14ac:dyDescent="0.35">
      <c r="J29" s="14"/>
    </row>
    <row r="30" spans="2:10" x14ac:dyDescent="0.35">
      <c r="J30" s="14"/>
    </row>
    <row r="31" spans="2:10" x14ac:dyDescent="0.35">
      <c r="J31" s="14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13"/>
  <sheetViews>
    <sheetView workbookViewId="0">
      <selection activeCell="A3" sqref="A3:A13"/>
    </sheetView>
  </sheetViews>
  <sheetFormatPr defaultRowHeight="14.5" x14ac:dyDescent="0.35"/>
  <cols>
    <col min="1" max="1" width="9.54296875" bestFit="1" customWidth="1"/>
  </cols>
  <sheetData>
    <row r="2" spans="1:3" x14ac:dyDescent="0.35">
      <c r="A2" t="s">
        <v>19</v>
      </c>
      <c r="B2" t="s">
        <v>1</v>
      </c>
      <c r="C2" t="s">
        <v>17</v>
      </c>
    </row>
    <row r="3" spans="1:3" x14ac:dyDescent="0.35">
      <c r="A3" s="14">
        <v>42898</v>
      </c>
      <c r="B3" t="s">
        <v>2</v>
      </c>
    </row>
    <row r="4" spans="1:3" x14ac:dyDescent="0.35">
      <c r="A4" s="14">
        <v>42905</v>
      </c>
      <c r="B4" t="s">
        <v>3</v>
      </c>
    </row>
    <row r="5" spans="1:3" x14ac:dyDescent="0.35">
      <c r="A5" s="14">
        <v>42912</v>
      </c>
      <c r="B5" t="s">
        <v>4</v>
      </c>
    </row>
    <row r="6" spans="1:3" x14ac:dyDescent="0.35">
      <c r="A6" s="14">
        <v>42919</v>
      </c>
      <c r="B6" t="s">
        <v>5</v>
      </c>
    </row>
    <row r="7" spans="1:3" x14ac:dyDescent="0.35">
      <c r="A7" s="14">
        <v>42926</v>
      </c>
      <c r="B7" t="s">
        <v>6</v>
      </c>
    </row>
    <row r="8" spans="1:3" x14ac:dyDescent="0.35">
      <c r="A8" s="14">
        <v>42933</v>
      </c>
      <c r="B8" t="s">
        <v>7</v>
      </c>
    </row>
    <row r="9" spans="1:3" x14ac:dyDescent="0.35">
      <c r="A9" s="14">
        <v>42940</v>
      </c>
      <c r="B9" t="s">
        <v>8</v>
      </c>
    </row>
    <row r="10" spans="1:3" x14ac:dyDescent="0.35">
      <c r="A10" s="14">
        <v>42947</v>
      </c>
      <c r="B10" t="s">
        <v>9</v>
      </c>
    </row>
    <row r="11" spans="1:3" x14ac:dyDescent="0.35">
      <c r="A11" s="14">
        <v>42954</v>
      </c>
      <c r="B11" t="s">
        <v>10</v>
      </c>
    </row>
    <row r="12" spans="1:3" x14ac:dyDescent="0.35">
      <c r="A12" s="14">
        <v>42961</v>
      </c>
    </row>
    <row r="13" spans="1:3" x14ac:dyDescent="0.35">
      <c r="A13" s="14">
        <v>42968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Utilization 2</vt:lpstr>
      <vt:lpstr>Utilization (2)</vt:lpstr>
      <vt:lpstr>Utilization Summary</vt:lpstr>
      <vt:lpstr>Utilization</vt:lpstr>
      <vt:lpstr>Meetings</vt:lpstr>
      <vt:lpstr>Backend 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2017-08-31T19:30:27Z</dcterms:modified>
</cp:coreProperties>
</file>